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андр\Отчет для собственника\templates\"/>
    </mc:Choice>
  </mc:AlternateContent>
  <xr:revisionPtr revIDLastSave="0" documentId="13_ncr:1_{F6F048F1-0305-4C64-B3C2-E8359D680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1" i="1" l="1"/>
  <c r="J361" i="1"/>
  <c r="H361" i="1"/>
  <c r="F361" i="1"/>
  <c r="C361" i="1"/>
  <c r="J544" i="1"/>
  <c r="H544" i="1"/>
  <c r="F544" i="1"/>
  <c r="E544" i="1"/>
  <c r="C544" i="1"/>
  <c r="J533" i="1"/>
  <c r="H533" i="1"/>
  <c r="F533" i="1"/>
  <c r="E533" i="1"/>
  <c r="C533" i="1"/>
  <c r="J528" i="1"/>
  <c r="H528" i="1"/>
  <c r="F528" i="1"/>
  <c r="E528" i="1"/>
  <c r="C528" i="1"/>
  <c r="J524" i="1"/>
  <c r="H524" i="1"/>
  <c r="F524" i="1"/>
  <c r="E524" i="1"/>
  <c r="C524" i="1"/>
  <c r="J492" i="1"/>
  <c r="H492" i="1"/>
  <c r="F492" i="1"/>
  <c r="E492" i="1"/>
  <c r="C492" i="1"/>
  <c r="J481" i="1"/>
  <c r="H481" i="1"/>
  <c r="F481" i="1"/>
  <c r="E481" i="1"/>
  <c r="C481" i="1"/>
  <c r="J476" i="1"/>
  <c r="H476" i="1"/>
  <c r="F476" i="1"/>
  <c r="E476" i="1"/>
  <c r="C476" i="1"/>
  <c r="J472" i="1"/>
  <c r="H472" i="1"/>
  <c r="F472" i="1"/>
  <c r="E472" i="1"/>
  <c r="C472" i="1"/>
  <c r="J440" i="1"/>
  <c r="H440" i="1"/>
  <c r="F440" i="1"/>
  <c r="E440" i="1"/>
  <c r="C440" i="1"/>
  <c r="J429" i="1"/>
  <c r="H429" i="1"/>
  <c r="F429" i="1"/>
  <c r="E429" i="1"/>
  <c r="C429" i="1"/>
  <c r="J424" i="1"/>
  <c r="H424" i="1"/>
  <c r="F424" i="1"/>
  <c r="E424" i="1"/>
  <c r="C424" i="1"/>
  <c r="J420" i="1"/>
  <c r="H420" i="1"/>
  <c r="F420" i="1"/>
  <c r="E420" i="1"/>
  <c r="C420" i="1"/>
  <c r="J388" i="1"/>
  <c r="H388" i="1"/>
  <c r="F388" i="1"/>
  <c r="E388" i="1"/>
  <c r="C388" i="1"/>
  <c r="J377" i="1"/>
  <c r="H377" i="1"/>
  <c r="F377" i="1"/>
  <c r="E377" i="1"/>
  <c r="C377" i="1"/>
  <c r="J372" i="1"/>
  <c r="H372" i="1"/>
  <c r="F372" i="1"/>
  <c r="E372" i="1"/>
  <c r="C372" i="1"/>
  <c r="J368" i="1"/>
  <c r="H368" i="1"/>
  <c r="F368" i="1"/>
  <c r="E368" i="1"/>
  <c r="C368" i="1"/>
  <c r="J315" i="1"/>
  <c r="H315" i="1"/>
  <c r="F315" i="1"/>
  <c r="E315" i="1"/>
  <c r="C315" i="1"/>
  <c r="J320" i="1"/>
  <c r="H320" i="1"/>
  <c r="F320" i="1"/>
  <c r="E320" i="1"/>
  <c r="C320" i="1"/>
  <c r="J336" i="1"/>
  <c r="H336" i="1"/>
  <c r="F336" i="1"/>
  <c r="E336" i="1"/>
  <c r="C336" i="1"/>
  <c r="J325" i="1"/>
  <c r="H325" i="1"/>
  <c r="F325" i="1"/>
  <c r="E325" i="1"/>
  <c r="C325" i="1"/>
  <c r="J283" i="1"/>
  <c r="H283" i="1"/>
  <c r="F283" i="1"/>
  <c r="E283" i="1"/>
  <c r="C283" i="1"/>
  <c r="J272" i="1"/>
  <c r="H272" i="1"/>
  <c r="F272" i="1"/>
  <c r="E272" i="1"/>
  <c r="C272" i="1"/>
  <c r="J267" i="1"/>
  <c r="H267" i="1"/>
  <c r="F267" i="1"/>
  <c r="E267" i="1"/>
  <c r="C267" i="1"/>
  <c r="J263" i="1"/>
  <c r="H263" i="1"/>
  <c r="F263" i="1"/>
  <c r="E263" i="1"/>
  <c r="C263" i="1"/>
  <c r="J231" i="1"/>
  <c r="H231" i="1"/>
  <c r="F231" i="1"/>
  <c r="E231" i="1"/>
  <c r="C231" i="1"/>
  <c r="J220" i="1"/>
  <c r="H220" i="1"/>
  <c r="F220" i="1"/>
  <c r="E220" i="1"/>
  <c r="C220" i="1"/>
  <c r="J215" i="1"/>
  <c r="H215" i="1"/>
  <c r="F215" i="1"/>
  <c r="E215" i="1"/>
  <c r="C215" i="1"/>
  <c r="J211" i="1"/>
  <c r="H211" i="1"/>
  <c r="F211" i="1"/>
  <c r="E211" i="1"/>
  <c r="C211" i="1"/>
  <c r="J179" i="1"/>
  <c r="H179" i="1"/>
  <c r="N179" i="1" s="1"/>
  <c r="O179" i="1" s="1"/>
  <c r="F179" i="1"/>
  <c r="E179" i="1"/>
  <c r="C179" i="1"/>
  <c r="J168" i="1"/>
  <c r="H168" i="1"/>
  <c r="F168" i="1"/>
  <c r="E168" i="1"/>
  <c r="C168" i="1"/>
  <c r="J163" i="1"/>
  <c r="H163" i="1"/>
  <c r="F163" i="1"/>
  <c r="E163" i="1"/>
  <c r="C163" i="1"/>
  <c r="J159" i="1"/>
  <c r="H159" i="1"/>
  <c r="F159" i="1"/>
  <c r="E159" i="1"/>
  <c r="C159" i="1"/>
  <c r="J127" i="1"/>
  <c r="H127" i="1"/>
  <c r="F127" i="1"/>
  <c r="E127" i="1"/>
  <c r="C127" i="1"/>
  <c r="J116" i="1"/>
  <c r="H116" i="1"/>
  <c r="F116" i="1"/>
  <c r="E116" i="1"/>
  <c r="C116" i="1"/>
  <c r="J111" i="1"/>
  <c r="H111" i="1"/>
  <c r="F111" i="1"/>
  <c r="E111" i="1"/>
  <c r="C111" i="1"/>
  <c r="J107" i="1"/>
  <c r="H107" i="1"/>
  <c r="F107" i="1"/>
  <c r="E107" i="1"/>
  <c r="C107" i="1"/>
  <c r="J75" i="1"/>
  <c r="H75" i="1"/>
  <c r="F75" i="1"/>
  <c r="E75" i="1"/>
  <c r="C75" i="1"/>
  <c r="J64" i="1"/>
  <c r="H64" i="1"/>
  <c r="F64" i="1"/>
  <c r="E64" i="1"/>
  <c r="C64" i="1"/>
  <c r="J59" i="1"/>
  <c r="H59" i="1"/>
  <c r="F59" i="1"/>
  <c r="E59" i="1"/>
  <c r="C59" i="1"/>
  <c r="J55" i="1"/>
  <c r="H55" i="1"/>
  <c r="F55" i="1"/>
  <c r="E55" i="1"/>
  <c r="C55" i="1"/>
  <c r="N644" i="1"/>
  <c r="O644" i="1" s="1"/>
  <c r="L644" i="1"/>
  <c r="M644" i="1" s="1"/>
  <c r="N643" i="1"/>
  <c r="O643" i="1" s="1"/>
  <c r="L643" i="1"/>
  <c r="M643" i="1" s="1"/>
  <c r="N642" i="1"/>
  <c r="O642" i="1" s="1"/>
  <c r="L642" i="1"/>
  <c r="M642" i="1" s="1"/>
  <c r="N641" i="1"/>
  <c r="O641" i="1" s="1"/>
  <c r="L641" i="1"/>
  <c r="M641" i="1" s="1"/>
  <c r="N640" i="1"/>
  <c r="O640" i="1" s="1"/>
  <c r="L640" i="1"/>
  <c r="M640" i="1" s="1"/>
  <c r="N639" i="1"/>
  <c r="O639" i="1" s="1"/>
  <c r="L639" i="1"/>
  <c r="M639" i="1" s="1"/>
  <c r="N638" i="1"/>
  <c r="O638" i="1" s="1"/>
  <c r="L638" i="1"/>
  <c r="M638" i="1" s="1"/>
  <c r="N637" i="1"/>
  <c r="O637" i="1" s="1"/>
  <c r="L637" i="1"/>
  <c r="M637" i="1" s="1"/>
  <c r="N636" i="1"/>
  <c r="O636" i="1" s="1"/>
  <c r="L636" i="1"/>
  <c r="M636" i="1" s="1"/>
  <c r="N635" i="1"/>
  <c r="O635" i="1" s="1"/>
  <c r="L635" i="1"/>
  <c r="M635" i="1" s="1"/>
  <c r="N634" i="1"/>
  <c r="O634" i="1" s="1"/>
  <c r="L634" i="1"/>
  <c r="M634" i="1" s="1"/>
  <c r="N633" i="1"/>
  <c r="O633" i="1" s="1"/>
  <c r="L633" i="1"/>
  <c r="M633" i="1" s="1"/>
  <c r="N632" i="1"/>
  <c r="O632" i="1" s="1"/>
  <c r="L632" i="1"/>
  <c r="M632" i="1" s="1"/>
  <c r="N631" i="1"/>
  <c r="O631" i="1" s="1"/>
  <c r="L631" i="1"/>
  <c r="M631" i="1" s="1"/>
  <c r="N630" i="1"/>
  <c r="O630" i="1" s="1"/>
  <c r="L630" i="1"/>
  <c r="M630" i="1" s="1"/>
  <c r="N629" i="1"/>
  <c r="O629" i="1" s="1"/>
  <c r="L629" i="1"/>
  <c r="M629" i="1" s="1"/>
  <c r="N628" i="1"/>
  <c r="O628" i="1" s="1"/>
  <c r="L628" i="1"/>
  <c r="M628" i="1" s="1"/>
  <c r="N627" i="1"/>
  <c r="O627" i="1" s="1"/>
  <c r="L627" i="1"/>
  <c r="M627" i="1" s="1"/>
  <c r="N626" i="1"/>
  <c r="O626" i="1" s="1"/>
  <c r="L626" i="1"/>
  <c r="M626" i="1" s="1"/>
  <c r="N625" i="1"/>
  <c r="O625" i="1" s="1"/>
  <c r="L625" i="1"/>
  <c r="M625" i="1" s="1"/>
  <c r="N624" i="1"/>
  <c r="O624" i="1" s="1"/>
  <c r="L624" i="1"/>
  <c r="M624" i="1" s="1"/>
  <c r="N623" i="1"/>
  <c r="O623" i="1" s="1"/>
  <c r="L623" i="1"/>
  <c r="M623" i="1" s="1"/>
  <c r="N622" i="1"/>
  <c r="O622" i="1" s="1"/>
  <c r="L622" i="1"/>
  <c r="M622" i="1" s="1"/>
  <c r="N620" i="1"/>
  <c r="O620" i="1" s="1"/>
  <c r="L620" i="1"/>
  <c r="M620" i="1" s="1"/>
  <c r="N619" i="1"/>
  <c r="O619" i="1" s="1"/>
  <c r="L619" i="1"/>
  <c r="M619" i="1" s="1"/>
  <c r="N618" i="1"/>
  <c r="O618" i="1" s="1"/>
  <c r="L618" i="1"/>
  <c r="M618" i="1" s="1"/>
  <c r="N617" i="1"/>
  <c r="O617" i="1" s="1"/>
  <c r="L617" i="1"/>
  <c r="M617" i="1" s="1"/>
  <c r="N616" i="1"/>
  <c r="O616" i="1" s="1"/>
  <c r="L616" i="1"/>
  <c r="M616" i="1" s="1"/>
  <c r="N615" i="1"/>
  <c r="O615" i="1" s="1"/>
  <c r="L615" i="1"/>
  <c r="M615" i="1" s="1"/>
  <c r="N614" i="1"/>
  <c r="O614" i="1" s="1"/>
  <c r="L614" i="1"/>
  <c r="M614" i="1" s="1"/>
  <c r="N613" i="1"/>
  <c r="O613" i="1" s="1"/>
  <c r="L613" i="1"/>
  <c r="M613" i="1" s="1"/>
  <c r="N612" i="1"/>
  <c r="O612" i="1" s="1"/>
  <c r="L612" i="1"/>
  <c r="M612" i="1" s="1"/>
  <c r="N611" i="1"/>
  <c r="O611" i="1" s="1"/>
  <c r="L611" i="1"/>
  <c r="M611" i="1" s="1"/>
  <c r="N609" i="1"/>
  <c r="O609" i="1" s="1"/>
  <c r="L609" i="1"/>
  <c r="M609" i="1" s="1"/>
  <c r="N608" i="1"/>
  <c r="O608" i="1" s="1"/>
  <c r="L608" i="1"/>
  <c r="M608" i="1" s="1"/>
  <c r="N607" i="1"/>
  <c r="O607" i="1" s="1"/>
  <c r="L607" i="1"/>
  <c r="M607" i="1" s="1"/>
  <c r="N606" i="1"/>
  <c r="O606" i="1" s="1"/>
  <c r="L606" i="1"/>
  <c r="M606" i="1" s="1"/>
  <c r="N603" i="1"/>
  <c r="L603" i="1"/>
  <c r="C605" i="1"/>
  <c r="E605" i="1"/>
  <c r="F605" i="1"/>
  <c r="H605" i="1"/>
  <c r="J605" i="1"/>
  <c r="C610" i="1"/>
  <c r="E610" i="1"/>
  <c r="F610" i="1"/>
  <c r="H610" i="1"/>
  <c r="J610" i="1"/>
  <c r="C621" i="1"/>
  <c r="E621" i="1"/>
  <c r="F621" i="1"/>
  <c r="H621" i="1"/>
  <c r="J621" i="1"/>
  <c r="N598" i="1"/>
  <c r="O598" i="1" s="1"/>
  <c r="L598" i="1"/>
  <c r="M598" i="1" s="1"/>
  <c r="N597" i="1"/>
  <c r="O597" i="1" s="1"/>
  <c r="L597" i="1"/>
  <c r="M597" i="1" s="1"/>
  <c r="N596" i="1"/>
  <c r="O596" i="1" s="1"/>
  <c r="L596" i="1"/>
  <c r="M596" i="1" s="1"/>
  <c r="N595" i="1"/>
  <c r="O595" i="1" s="1"/>
  <c r="L595" i="1"/>
  <c r="M595" i="1" s="1"/>
  <c r="N594" i="1"/>
  <c r="O594" i="1" s="1"/>
  <c r="L594" i="1"/>
  <c r="M594" i="1" s="1"/>
  <c r="N593" i="1"/>
  <c r="O593" i="1" s="1"/>
  <c r="L593" i="1"/>
  <c r="M593" i="1" s="1"/>
  <c r="N592" i="1"/>
  <c r="O592" i="1" s="1"/>
  <c r="L592" i="1"/>
  <c r="M592" i="1" s="1"/>
  <c r="N591" i="1"/>
  <c r="O591" i="1" s="1"/>
  <c r="L591" i="1"/>
  <c r="M591" i="1" s="1"/>
  <c r="N590" i="1"/>
  <c r="O590" i="1" s="1"/>
  <c r="L590" i="1"/>
  <c r="M590" i="1" s="1"/>
  <c r="N589" i="1"/>
  <c r="O589" i="1" s="1"/>
  <c r="L589" i="1"/>
  <c r="M589" i="1" s="1"/>
  <c r="N588" i="1"/>
  <c r="O588" i="1" s="1"/>
  <c r="L588" i="1"/>
  <c r="M588" i="1" s="1"/>
  <c r="N586" i="1"/>
  <c r="O586" i="1" s="1"/>
  <c r="L586" i="1"/>
  <c r="M586" i="1" s="1"/>
  <c r="N585" i="1"/>
  <c r="O585" i="1" s="1"/>
  <c r="L585" i="1"/>
  <c r="M585" i="1" s="1"/>
  <c r="N584" i="1"/>
  <c r="O584" i="1" s="1"/>
  <c r="L584" i="1"/>
  <c r="M584" i="1" s="1"/>
  <c r="N583" i="1"/>
  <c r="O583" i="1" s="1"/>
  <c r="L583" i="1"/>
  <c r="M583" i="1" s="1"/>
  <c r="N580" i="1"/>
  <c r="O580" i="1" s="1"/>
  <c r="L580" i="1"/>
  <c r="M580" i="1" s="1"/>
  <c r="N579" i="1"/>
  <c r="O579" i="1" s="1"/>
  <c r="L579" i="1"/>
  <c r="M579" i="1" s="1"/>
  <c r="N578" i="1"/>
  <c r="O578" i="1" s="1"/>
  <c r="L578" i="1"/>
  <c r="M578" i="1" s="1"/>
  <c r="N577" i="1"/>
  <c r="O577" i="1" s="1"/>
  <c r="L577" i="1"/>
  <c r="M577" i="1" s="1"/>
  <c r="N575" i="1"/>
  <c r="L575" i="1"/>
  <c r="N567" i="1"/>
  <c r="O567" i="1" s="1"/>
  <c r="L567" i="1"/>
  <c r="M567" i="1" s="1"/>
  <c r="N566" i="1"/>
  <c r="O566" i="1" s="1"/>
  <c r="L566" i="1"/>
  <c r="M566" i="1" s="1"/>
  <c r="N565" i="1"/>
  <c r="O565" i="1" s="1"/>
  <c r="L565" i="1"/>
  <c r="M565" i="1" s="1"/>
  <c r="N564" i="1"/>
  <c r="O564" i="1" s="1"/>
  <c r="L564" i="1"/>
  <c r="M564" i="1" s="1"/>
  <c r="N563" i="1"/>
  <c r="O563" i="1" s="1"/>
  <c r="L563" i="1"/>
  <c r="M563" i="1" s="1"/>
  <c r="N562" i="1"/>
  <c r="O562" i="1" s="1"/>
  <c r="L562" i="1"/>
  <c r="M562" i="1" s="1"/>
  <c r="N561" i="1"/>
  <c r="O561" i="1" s="1"/>
  <c r="L561" i="1"/>
  <c r="M561" i="1" s="1"/>
  <c r="N560" i="1"/>
  <c r="O560" i="1" s="1"/>
  <c r="L560" i="1"/>
  <c r="M560" i="1" s="1"/>
  <c r="N559" i="1"/>
  <c r="O559" i="1" s="1"/>
  <c r="L559" i="1"/>
  <c r="M559" i="1" s="1"/>
  <c r="N558" i="1"/>
  <c r="O558" i="1" s="1"/>
  <c r="L558" i="1"/>
  <c r="M558" i="1" s="1"/>
  <c r="N557" i="1"/>
  <c r="O557" i="1" s="1"/>
  <c r="L557" i="1"/>
  <c r="M557" i="1" s="1"/>
  <c r="N556" i="1"/>
  <c r="O556" i="1" s="1"/>
  <c r="L556" i="1"/>
  <c r="M556" i="1" s="1"/>
  <c r="N555" i="1"/>
  <c r="O555" i="1" s="1"/>
  <c r="L555" i="1"/>
  <c r="M555" i="1" s="1"/>
  <c r="N554" i="1"/>
  <c r="O554" i="1" s="1"/>
  <c r="L554" i="1"/>
  <c r="M554" i="1" s="1"/>
  <c r="N553" i="1"/>
  <c r="O553" i="1" s="1"/>
  <c r="L553" i="1"/>
  <c r="M553" i="1" s="1"/>
  <c r="N552" i="1"/>
  <c r="O552" i="1" s="1"/>
  <c r="L552" i="1"/>
  <c r="M552" i="1" s="1"/>
  <c r="N551" i="1"/>
  <c r="O551" i="1" s="1"/>
  <c r="L551" i="1"/>
  <c r="M551" i="1" s="1"/>
  <c r="N550" i="1"/>
  <c r="O550" i="1" s="1"/>
  <c r="L550" i="1"/>
  <c r="M550" i="1" s="1"/>
  <c r="N549" i="1"/>
  <c r="O549" i="1" s="1"/>
  <c r="L549" i="1"/>
  <c r="M549" i="1" s="1"/>
  <c r="N548" i="1"/>
  <c r="O548" i="1" s="1"/>
  <c r="L548" i="1"/>
  <c r="M548" i="1" s="1"/>
  <c r="N547" i="1"/>
  <c r="O547" i="1" s="1"/>
  <c r="L547" i="1"/>
  <c r="M547" i="1" s="1"/>
  <c r="N546" i="1"/>
  <c r="O546" i="1" s="1"/>
  <c r="L546" i="1"/>
  <c r="M546" i="1" s="1"/>
  <c r="N545" i="1"/>
  <c r="O545" i="1" s="1"/>
  <c r="L545" i="1"/>
  <c r="M545" i="1" s="1"/>
  <c r="N543" i="1"/>
  <c r="O543" i="1" s="1"/>
  <c r="L543" i="1"/>
  <c r="M543" i="1" s="1"/>
  <c r="N542" i="1"/>
  <c r="O542" i="1" s="1"/>
  <c r="L542" i="1"/>
  <c r="M542" i="1" s="1"/>
  <c r="N541" i="1"/>
  <c r="O541" i="1" s="1"/>
  <c r="L541" i="1"/>
  <c r="M541" i="1" s="1"/>
  <c r="N540" i="1"/>
  <c r="O540" i="1" s="1"/>
  <c r="L540" i="1"/>
  <c r="M540" i="1" s="1"/>
  <c r="N539" i="1"/>
  <c r="O539" i="1" s="1"/>
  <c r="L539" i="1"/>
  <c r="M539" i="1" s="1"/>
  <c r="N538" i="1"/>
  <c r="O538" i="1" s="1"/>
  <c r="L538" i="1"/>
  <c r="M538" i="1" s="1"/>
  <c r="N537" i="1"/>
  <c r="O537" i="1" s="1"/>
  <c r="L537" i="1"/>
  <c r="M537" i="1" s="1"/>
  <c r="N536" i="1"/>
  <c r="O536" i="1" s="1"/>
  <c r="L536" i="1"/>
  <c r="M536" i="1" s="1"/>
  <c r="N535" i="1"/>
  <c r="O535" i="1" s="1"/>
  <c r="L535" i="1"/>
  <c r="M535" i="1" s="1"/>
  <c r="N534" i="1"/>
  <c r="O534" i="1" s="1"/>
  <c r="L534" i="1"/>
  <c r="M534" i="1" s="1"/>
  <c r="N532" i="1"/>
  <c r="O532" i="1" s="1"/>
  <c r="L532" i="1"/>
  <c r="M532" i="1" s="1"/>
  <c r="N531" i="1"/>
  <c r="O531" i="1" s="1"/>
  <c r="L531" i="1"/>
  <c r="M531" i="1" s="1"/>
  <c r="N530" i="1"/>
  <c r="O530" i="1" s="1"/>
  <c r="L530" i="1"/>
  <c r="M530" i="1" s="1"/>
  <c r="N529" i="1"/>
  <c r="O529" i="1" s="1"/>
  <c r="L529" i="1"/>
  <c r="M529" i="1" s="1"/>
  <c r="N526" i="1"/>
  <c r="O526" i="1" s="1"/>
  <c r="L526" i="1"/>
  <c r="M526" i="1" s="1"/>
  <c r="N525" i="1"/>
  <c r="O525" i="1" s="1"/>
  <c r="L525" i="1"/>
  <c r="M525" i="1" s="1"/>
  <c r="N523" i="1"/>
  <c r="L523" i="1"/>
  <c r="N515" i="1"/>
  <c r="O515" i="1" s="1"/>
  <c r="L515" i="1"/>
  <c r="M515" i="1" s="1"/>
  <c r="N514" i="1"/>
  <c r="O514" i="1" s="1"/>
  <c r="L514" i="1"/>
  <c r="M514" i="1" s="1"/>
  <c r="N513" i="1"/>
  <c r="O513" i="1" s="1"/>
  <c r="L513" i="1"/>
  <c r="M513" i="1" s="1"/>
  <c r="N512" i="1"/>
  <c r="O512" i="1" s="1"/>
  <c r="L512" i="1"/>
  <c r="M512" i="1" s="1"/>
  <c r="N511" i="1"/>
  <c r="O511" i="1" s="1"/>
  <c r="L511" i="1"/>
  <c r="M511" i="1" s="1"/>
  <c r="N510" i="1"/>
  <c r="O510" i="1" s="1"/>
  <c r="L510" i="1"/>
  <c r="M510" i="1" s="1"/>
  <c r="N509" i="1"/>
  <c r="O509" i="1" s="1"/>
  <c r="L509" i="1"/>
  <c r="M509" i="1" s="1"/>
  <c r="N508" i="1"/>
  <c r="O508" i="1" s="1"/>
  <c r="L508" i="1"/>
  <c r="M508" i="1" s="1"/>
  <c r="N507" i="1"/>
  <c r="O507" i="1" s="1"/>
  <c r="L507" i="1"/>
  <c r="M507" i="1" s="1"/>
  <c r="N506" i="1"/>
  <c r="O506" i="1" s="1"/>
  <c r="L506" i="1"/>
  <c r="M506" i="1" s="1"/>
  <c r="N505" i="1"/>
  <c r="O505" i="1" s="1"/>
  <c r="L505" i="1"/>
  <c r="M505" i="1" s="1"/>
  <c r="N504" i="1"/>
  <c r="O504" i="1" s="1"/>
  <c r="L504" i="1"/>
  <c r="M504" i="1" s="1"/>
  <c r="N503" i="1"/>
  <c r="O503" i="1" s="1"/>
  <c r="L503" i="1"/>
  <c r="M503" i="1" s="1"/>
  <c r="N502" i="1"/>
  <c r="O502" i="1" s="1"/>
  <c r="L502" i="1"/>
  <c r="M502" i="1" s="1"/>
  <c r="N501" i="1"/>
  <c r="O501" i="1" s="1"/>
  <c r="L501" i="1"/>
  <c r="M501" i="1" s="1"/>
  <c r="N500" i="1"/>
  <c r="O500" i="1" s="1"/>
  <c r="L500" i="1"/>
  <c r="M500" i="1" s="1"/>
  <c r="N499" i="1"/>
  <c r="O499" i="1" s="1"/>
  <c r="L499" i="1"/>
  <c r="M499" i="1" s="1"/>
  <c r="N498" i="1"/>
  <c r="O498" i="1" s="1"/>
  <c r="L498" i="1"/>
  <c r="M498" i="1" s="1"/>
  <c r="N497" i="1"/>
  <c r="O497" i="1" s="1"/>
  <c r="L497" i="1"/>
  <c r="M497" i="1" s="1"/>
  <c r="N496" i="1"/>
  <c r="O496" i="1" s="1"/>
  <c r="L496" i="1"/>
  <c r="M496" i="1" s="1"/>
  <c r="N495" i="1"/>
  <c r="O495" i="1" s="1"/>
  <c r="L495" i="1"/>
  <c r="M495" i="1" s="1"/>
  <c r="N494" i="1"/>
  <c r="O494" i="1" s="1"/>
  <c r="L494" i="1"/>
  <c r="M494" i="1" s="1"/>
  <c r="N493" i="1"/>
  <c r="O493" i="1" s="1"/>
  <c r="L493" i="1"/>
  <c r="M493" i="1" s="1"/>
  <c r="N491" i="1"/>
  <c r="O491" i="1" s="1"/>
  <c r="L491" i="1"/>
  <c r="M491" i="1" s="1"/>
  <c r="N490" i="1"/>
  <c r="O490" i="1" s="1"/>
  <c r="L490" i="1"/>
  <c r="M490" i="1" s="1"/>
  <c r="N489" i="1"/>
  <c r="O489" i="1" s="1"/>
  <c r="L489" i="1"/>
  <c r="M489" i="1" s="1"/>
  <c r="N488" i="1"/>
  <c r="O488" i="1" s="1"/>
  <c r="L488" i="1"/>
  <c r="M488" i="1" s="1"/>
  <c r="N487" i="1"/>
  <c r="O487" i="1" s="1"/>
  <c r="L487" i="1"/>
  <c r="M487" i="1" s="1"/>
  <c r="N486" i="1"/>
  <c r="O486" i="1" s="1"/>
  <c r="L486" i="1"/>
  <c r="M486" i="1" s="1"/>
  <c r="N485" i="1"/>
  <c r="O485" i="1" s="1"/>
  <c r="L485" i="1"/>
  <c r="M485" i="1" s="1"/>
  <c r="N484" i="1"/>
  <c r="O484" i="1" s="1"/>
  <c r="L484" i="1"/>
  <c r="M484" i="1" s="1"/>
  <c r="N483" i="1"/>
  <c r="O483" i="1" s="1"/>
  <c r="L483" i="1"/>
  <c r="M483" i="1" s="1"/>
  <c r="N482" i="1"/>
  <c r="O482" i="1" s="1"/>
  <c r="L482" i="1"/>
  <c r="M482" i="1" s="1"/>
  <c r="N480" i="1"/>
  <c r="O480" i="1" s="1"/>
  <c r="L480" i="1"/>
  <c r="M480" i="1" s="1"/>
  <c r="N479" i="1"/>
  <c r="O479" i="1" s="1"/>
  <c r="L479" i="1"/>
  <c r="M479" i="1" s="1"/>
  <c r="N478" i="1"/>
  <c r="O478" i="1" s="1"/>
  <c r="L478" i="1"/>
  <c r="M478" i="1" s="1"/>
  <c r="N477" i="1"/>
  <c r="O477" i="1" s="1"/>
  <c r="L477" i="1"/>
  <c r="M477" i="1" s="1"/>
  <c r="N474" i="1"/>
  <c r="O474" i="1" s="1"/>
  <c r="L474" i="1"/>
  <c r="M474" i="1" s="1"/>
  <c r="N473" i="1"/>
  <c r="O473" i="1" s="1"/>
  <c r="L473" i="1"/>
  <c r="M473" i="1" s="1"/>
  <c r="N471" i="1"/>
  <c r="L471" i="1"/>
  <c r="N463" i="1"/>
  <c r="O463" i="1" s="1"/>
  <c r="L463" i="1"/>
  <c r="M463" i="1" s="1"/>
  <c r="N462" i="1"/>
  <c r="O462" i="1" s="1"/>
  <c r="L462" i="1"/>
  <c r="M462" i="1" s="1"/>
  <c r="N461" i="1"/>
  <c r="O461" i="1" s="1"/>
  <c r="L461" i="1"/>
  <c r="M461" i="1" s="1"/>
  <c r="N460" i="1"/>
  <c r="O460" i="1" s="1"/>
  <c r="L460" i="1"/>
  <c r="M460" i="1" s="1"/>
  <c r="N459" i="1"/>
  <c r="O459" i="1" s="1"/>
  <c r="L459" i="1"/>
  <c r="M459" i="1" s="1"/>
  <c r="N458" i="1"/>
  <c r="O458" i="1" s="1"/>
  <c r="L458" i="1"/>
  <c r="M458" i="1" s="1"/>
  <c r="N457" i="1"/>
  <c r="O457" i="1" s="1"/>
  <c r="L457" i="1"/>
  <c r="M457" i="1" s="1"/>
  <c r="N456" i="1"/>
  <c r="O456" i="1" s="1"/>
  <c r="L456" i="1"/>
  <c r="M456" i="1" s="1"/>
  <c r="N455" i="1"/>
  <c r="O455" i="1" s="1"/>
  <c r="L455" i="1"/>
  <c r="M455" i="1" s="1"/>
  <c r="N454" i="1"/>
  <c r="O454" i="1" s="1"/>
  <c r="L454" i="1"/>
  <c r="M454" i="1" s="1"/>
  <c r="N453" i="1"/>
  <c r="O453" i="1" s="1"/>
  <c r="L453" i="1"/>
  <c r="M453" i="1" s="1"/>
  <c r="N452" i="1"/>
  <c r="O452" i="1" s="1"/>
  <c r="L452" i="1"/>
  <c r="M452" i="1" s="1"/>
  <c r="N451" i="1"/>
  <c r="O451" i="1" s="1"/>
  <c r="L451" i="1"/>
  <c r="M451" i="1" s="1"/>
  <c r="N450" i="1"/>
  <c r="O450" i="1" s="1"/>
  <c r="L450" i="1"/>
  <c r="M450" i="1" s="1"/>
  <c r="N449" i="1"/>
  <c r="O449" i="1" s="1"/>
  <c r="L449" i="1"/>
  <c r="M449" i="1" s="1"/>
  <c r="N448" i="1"/>
  <c r="O448" i="1" s="1"/>
  <c r="L448" i="1"/>
  <c r="M448" i="1" s="1"/>
  <c r="N447" i="1"/>
  <c r="O447" i="1" s="1"/>
  <c r="L447" i="1"/>
  <c r="M447" i="1" s="1"/>
  <c r="N446" i="1"/>
  <c r="O446" i="1" s="1"/>
  <c r="L446" i="1"/>
  <c r="M446" i="1" s="1"/>
  <c r="N445" i="1"/>
  <c r="O445" i="1" s="1"/>
  <c r="L445" i="1"/>
  <c r="M445" i="1" s="1"/>
  <c r="N444" i="1"/>
  <c r="O444" i="1" s="1"/>
  <c r="L444" i="1"/>
  <c r="M444" i="1" s="1"/>
  <c r="N443" i="1"/>
  <c r="O443" i="1" s="1"/>
  <c r="L443" i="1"/>
  <c r="M443" i="1" s="1"/>
  <c r="N442" i="1"/>
  <c r="O442" i="1" s="1"/>
  <c r="L442" i="1"/>
  <c r="M442" i="1" s="1"/>
  <c r="N441" i="1"/>
  <c r="O441" i="1" s="1"/>
  <c r="L441" i="1"/>
  <c r="M441" i="1" s="1"/>
  <c r="N439" i="1"/>
  <c r="O439" i="1" s="1"/>
  <c r="L439" i="1"/>
  <c r="M439" i="1" s="1"/>
  <c r="N438" i="1"/>
  <c r="O438" i="1" s="1"/>
  <c r="L438" i="1"/>
  <c r="M438" i="1" s="1"/>
  <c r="N437" i="1"/>
  <c r="O437" i="1" s="1"/>
  <c r="L437" i="1"/>
  <c r="M437" i="1" s="1"/>
  <c r="N436" i="1"/>
  <c r="O436" i="1" s="1"/>
  <c r="L436" i="1"/>
  <c r="M436" i="1" s="1"/>
  <c r="N435" i="1"/>
  <c r="O435" i="1" s="1"/>
  <c r="L435" i="1"/>
  <c r="M435" i="1" s="1"/>
  <c r="N434" i="1"/>
  <c r="O434" i="1" s="1"/>
  <c r="L434" i="1"/>
  <c r="M434" i="1" s="1"/>
  <c r="N433" i="1"/>
  <c r="O433" i="1" s="1"/>
  <c r="L433" i="1"/>
  <c r="M433" i="1" s="1"/>
  <c r="N432" i="1"/>
  <c r="O432" i="1" s="1"/>
  <c r="L432" i="1"/>
  <c r="M432" i="1" s="1"/>
  <c r="N431" i="1"/>
  <c r="O431" i="1" s="1"/>
  <c r="L431" i="1"/>
  <c r="M431" i="1" s="1"/>
  <c r="N430" i="1"/>
  <c r="O430" i="1" s="1"/>
  <c r="L430" i="1"/>
  <c r="M430" i="1" s="1"/>
  <c r="N428" i="1"/>
  <c r="O428" i="1" s="1"/>
  <c r="L428" i="1"/>
  <c r="M428" i="1" s="1"/>
  <c r="N427" i="1"/>
  <c r="O427" i="1" s="1"/>
  <c r="L427" i="1"/>
  <c r="M427" i="1" s="1"/>
  <c r="N426" i="1"/>
  <c r="O426" i="1" s="1"/>
  <c r="L426" i="1"/>
  <c r="M426" i="1" s="1"/>
  <c r="N425" i="1"/>
  <c r="O425" i="1" s="1"/>
  <c r="L425" i="1"/>
  <c r="M425" i="1" s="1"/>
  <c r="N422" i="1"/>
  <c r="O422" i="1" s="1"/>
  <c r="L422" i="1"/>
  <c r="M422" i="1" s="1"/>
  <c r="N421" i="1"/>
  <c r="O421" i="1" s="1"/>
  <c r="L421" i="1"/>
  <c r="M421" i="1" s="1"/>
  <c r="N419" i="1"/>
  <c r="L419" i="1"/>
  <c r="N411" i="1"/>
  <c r="O411" i="1" s="1"/>
  <c r="L411" i="1"/>
  <c r="M411" i="1" s="1"/>
  <c r="N410" i="1"/>
  <c r="O410" i="1" s="1"/>
  <c r="L410" i="1"/>
  <c r="M410" i="1" s="1"/>
  <c r="N409" i="1"/>
  <c r="O409" i="1" s="1"/>
  <c r="L409" i="1"/>
  <c r="M409" i="1" s="1"/>
  <c r="N408" i="1"/>
  <c r="O408" i="1" s="1"/>
  <c r="L408" i="1"/>
  <c r="M408" i="1" s="1"/>
  <c r="N407" i="1"/>
  <c r="O407" i="1" s="1"/>
  <c r="L407" i="1"/>
  <c r="M407" i="1" s="1"/>
  <c r="N406" i="1"/>
  <c r="O406" i="1" s="1"/>
  <c r="L406" i="1"/>
  <c r="M406" i="1" s="1"/>
  <c r="N405" i="1"/>
  <c r="O405" i="1" s="1"/>
  <c r="L405" i="1"/>
  <c r="M405" i="1" s="1"/>
  <c r="N404" i="1"/>
  <c r="O404" i="1" s="1"/>
  <c r="L404" i="1"/>
  <c r="M404" i="1" s="1"/>
  <c r="N403" i="1"/>
  <c r="O403" i="1" s="1"/>
  <c r="L403" i="1"/>
  <c r="M403" i="1" s="1"/>
  <c r="N402" i="1"/>
  <c r="O402" i="1" s="1"/>
  <c r="L402" i="1"/>
  <c r="M402" i="1" s="1"/>
  <c r="N401" i="1"/>
  <c r="O401" i="1" s="1"/>
  <c r="L401" i="1"/>
  <c r="M401" i="1" s="1"/>
  <c r="N400" i="1"/>
  <c r="O400" i="1" s="1"/>
  <c r="L400" i="1"/>
  <c r="M400" i="1" s="1"/>
  <c r="N399" i="1"/>
  <c r="O399" i="1" s="1"/>
  <c r="L399" i="1"/>
  <c r="M399" i="1" s="1"/>
  <c r="N398" i="1"/>
  <c r="O398" i="1" s="1"/>
  <c r="L398" i="1"/>
  <c r="M398" i="1" s="1"/>
  <c r="N397" i="1"/>
  <c r="O397" i="1" s="1"/>
  <c r="L397" i="1"/>
  <c r="M397" i="1" s="1"/>
  <c r="N396" i="1"/>
  <c r="O396" i="1" s="1"/>
  <c r="L396" i="1"/>
  <c r="M396" i="1" s="1"/>
  <c r="N395" i="1"/>
  <c r="O395" i="1" s="1"/>
  <c r="L395" i="1"/>
  <c r="M395" i="1" s="1"/>
  <c r="N394" i="1"/>
  <c r="O394" i="1" s="1"/>
  <c r="L394" i="1"/>
  <c r="M394" i="1" s="1"/>
  <c r="N393" i="1"/>
  <c r="O393" i="1" s="1"/>
  <c r="L393" i="1"/>
  <c r="M393" i="1" s="1"/>
  <c r="N392" i="1"/>
  <c r="O392" i="1" s="1"/>
  <c r="L392" i="1"/>
  <c r="M392" i="1" s="1"/>
  <c r="N391" i="1"/>
  <c r="O391" i="1" s="1"/>
  <c r="L391" i="1"/>
  <c r="M391" i="1" s="1"/>
  <c r="N390" i="1"/>
  <c r="O390" i="1" s="1"/>
  <c r="L390" i="1"/>
  <c r="M390" i="1" s="1"/>
  <c r="N389" i="1"/>
  <c r="O389" i="1" s="1"/>
  <c r="L389" i="1"/>
  <c r="M389" i="1" s="1"/>
  <c r="N387" i="1"/>
  <c r="O387" i="1" s="1"/>
  <c r="L387" i="1"/>
  <c r="M387" i="1" s="1"/>
  <c r="N386" i="1"/>
  <c r="O386" i="1" s="1"/>
  <c r="L386" i="1"/>
  <c r="M386" i="1" s="1"/>
  <c r="N385" i="1"/>
  <c r="O385" i="1" s="1"/>
  <c r="L385" i="1"/>
  <c r="M385" i="1" s="1"/>
  <c r="N384" i="1"/>
  <c r="O384" i="1" s="1"/>
  <c r="L384" i="1"/>
  <c r="M384" i="1" s="1"/>
  <c r="N383" i="1"/>
  <c r="O383" i="1" s="1"/>
  <c r="L383" i="1"/>
  <c r="M383" i="1" s="1"/>
  <c r="N382" i="1"/>
  <c r="O382" i="1" s="1"/>
  <c r="L382" i="1"/>
  <c r="M382" i="1" s="1"/>
  <c r="N381" i="1"/>
  <c r="O381" i="1" s="1"/>
  <c r="L381" i="1"/>
  <c r="M381" i="1" s="1"/>
  <c r="N380" i="1"/>
  <c r="O380" i="1" s="1"/>
  <c r="L380" i="1"/>
  <c r="M380" i="1" s="1"/>
  <c r="N379" i="1"/>
  <c r="O379" i="1" s="1"/>
  <c r="L379" i="1"/>
  <c r="M379" i="1" s="1"/>
  <c r="N378" i="1"/>
  <c r="O378" i="1" s="1"/>
  <c r="L378" i="1"/>
  <c r="M378" i="1" s="1"/>
  <c r="N376" i="1"/>
  <c r="O376" i="1" s="1"/>
  <c r="L376" i="1"/>
  <c r="M376" i="1" s="1"/>
  <c r="N375" i="1"/>
  <c r="O375" i="1" s="1"/>
  <c r="L375" i="1"/>
  <c r="M375" i="1" s="1"/>
  <c r="N374" i="1"/>
  <c r="O374" i="1" s="1"/>
  <c r="L374" i="1"/>
  <c r="M374" i="1" s="1"/>
  <c r="N373" i="1"/>
  <c r="O373" i="1" s="1"/>
  <c r="L373" i="1"/>
  <c r="M373" i="1" s="1"/>
  <c r="N370" i="1"/>
  <c r="O370" i="1" s="1"/>
  <c r="L370" i="1"/>
  <c r="M370" i="1" s="1"/>
  <c r="N369" i="1"/>
  <c r="O369" i="1" s="1"/>
  <c r="L369" i="1"/>
  <c r="M369" i="1" s="1"/>
  <c r="N367" i="1"/>
  <c r="L367" i="1"/>
  <c r="N359" i="1"/>
  <c r="O359" i="1" s="1"/>
  <c r="L359" i="1"/>
  <c r="M359" i="1" s="1"/>
  <c r="N358" i="1"/>
  <c r="O358" i="1" s="1"/>
  <c r="L358" i="1"/>
  <c r="M358" i="1" s="1"/>
  <c r="N357" i="1"/>
  <c r="O357" i="1" s="1"/>
  <c r="L357" i="1"/>
  <c r="M357" i="1" s="1"/>
  <c r="N356" i="1"/>
  <c r="O356" i="1" s="1"/>
  <c r="L356" i="1"/>
  <c r="M356" i="1" s="1"/>
  <c r="N355" i="1"/>
  <c r="O355" i="1" s="1"/>
  <c r="L355" i="1"/>
  <c r="M355" i="1" s="1"/>
  <c r="N354" i="1"/>
  <c r="O354" i="1" s="1"/>
  <c r="L354" i="1"/>
  <c r="M354" i="1" s="1"/>
  <c r="N353" i="1"/>
  <c r="O353" i="1" s="1"/>
  <c r="L353" i="1"/>
  <c r="M353" i="1" s="1"/>
  <c r="N352" i="1"/>
  <c r="O352" i="1" s="1"/>
  <c r="L352" i="1"/>
  <c r="M352" i="1" s="1"/>
  <c r="N351" i="1"/>
  <c r="O351" i="1" s="1"/>
  <c r="L351" i="1"/>
  <c r="M351" i="1" s="1"/>
  <c r="N350" i="1"/>
  <c r="O350" i="1" s="1"/>
  <c r="L350" i="1"/>
  <c r="M350" i="1" s="1"/>
  <c r="N349" i="1"/>
  <c r="O349" i="1" s="1"/>
  <c r="L349" i="1"/>
  <c r="M349" i="1" s="1"/>
  <c r="N348" i="1"/>
  <c r="O348" i="1" s="1"/>
  <c r="L348" i="1"/>
  <c r="M348" i="1" s="1"/>
  <c r="N347" i="1"/>
  <c r="O347" i="1" s="1"/>
  <c r="L347" i="1"/>
  <c r="M347" i="1" s="1"/>
  <c r="N346" i="1"/>
  <c r="O346" i="1" s="1"/>
  <c r="L346" i="1"/>
  <c r="M346" i="1" s="1"/>
  <c r="N345" i="1"/>
  <c r="O345" i="1" s="1"/>
  <c r="L345" i="1"/>
  <c r="M345" i="1" s="1"/>
  <c r="N344" i="1"/>
  <c r="O344" i="1" s="1"/>
  <c r="L344" i="1"/>
  <c r="M344" i="1" s="1"/>
  <c r="N343" i="1"/>
  <c r="O343" i="1" s="1"/>
  <c r="L343" i="1"/>
  <c r="M343" i="1" s="1"/>
  <c r="N342" i="1"/>
  <c r="O342" i="1" s="1"/>
  <c r="L342" i="1"/>
  <c r="M342" i="1" s="1"/>
  <c r="N341" i="1"/>
  <c r="O341" i="1" s="1"/>
  <c r="L341" i="1"/>
  <c r="M341" i="1" s="1"/>
  <c r="N340" i="1"/>
  <c r="O340" i="1" s="1"/>
  <c r="L340" i="1"/>
  <c r="M340" i="1" s="1"/>
  <c r="N339" i="1"/>
  <c r="O339" i="1" s="1"/>
  <c r="L339" i="1"/>
  <c r="M339" i="1" s="1"/>
  <c r="N338" i="1"/>
  <c r="O338" i="1" s="1"/>
  <c r="L338" i="1"/>
  <c r="M338" i="1" s="1"/>
  <c r="N337" i="1"/>
  <c r="O337" i="1" s="1"/>
  <c r="L337" i="1"/>
  <c r="M337" i="1" s="1"/>
  <c r="N334" i="1"/>
  <c r="O334" i="1" s="1"/>
  <c r="L334" i="1"/>
  <c r="M334" i="1" s="1"/>
  <c r="N333" i="1"/>
  <c r="O333" i="1" s="1"/>
  <c r="L333" i="1"/>
  <c r="M333" i="1" s="1"/>
  <c r="N332" i="1"/>
  <c r="O332" i="1" s="1"/>
  <c r="L332" i="1"/>
  <c r="M332" i="1" s="1"/>
  <c r="N331" i="1"/>
  <c r="O331" i="1" s="1"/>
  <c r="L331" i="1"/>
  <c r="M331" i="1" s="1"/>
  <c r="N330" i="1"/>
  <c r="O330" i="1" s="1"/>
  <c r="L330" i="1"/>
  <c r="M330" i="1" s="1"/>
  <c r="N329" i="1"/>
  <c r="O329" i="1" s="1"/>
  <c r="L329" i="1"/>
  <c r="M329" i="1" s="1"/>
  <c r="N328" i="1"/>
  <c r="O328" i="1" s="1"/>
  <c r="L328" i="1"/>
  <c r="M328" i="1" s="1"/>
  <c r="N327" i="1"/>
  <c r="O327" i="1" s="1"/>
  <c r="L327" i="1"/>
  <c r="M327" i="1" s="1"/>
  <c r="N326" i="1"/>
  <c r="O326" i="1" s="1"/>
  <c r="L326" i="1"/>
  <c r="M326" i="1" s="1"/>
  <c r="N323" i="1"/>
  <c r="O323" i="1" s="1"/>
  <c r="L323" i="1"/>
  <c r="M323" i="1" s="1"/>
  <c r="N322" i="1"/>
  <c r="O322" i="1" s="1"/>
  <c r="L322" i="1"/>
  <c r="M322" i="1" s="1"/>
  <c r="N321" i="1"/>
  <c r="O321" i="1" s="1"/>
  <c r="L321" i="1"/>
  <c r="M321" i="1" s="1"/>
  <c r="N317" i="1"/>
  <c r="O317" i="1" s="1"/>
  <c r="L317" i="1"/>
  <c r="M317" i="1" s="1"/>
  <c r="N316" i="1"/>
  <c r="O316" i="1" s="1"/>
  <c r="L316" i="1"/>
  <c r="M316" i="1" s="1"/>
  <c r="N314" i="1"/>
  <c r="L314" i="1"/>
  <c r="N306" i="1"/>
  <c r="O306" i="1" s="1"/>
  <c r="L306" i="1"/>
  <c r="M306" i="1" s="1"/>
  <c r="N305" i="1"/>
  <c r="O305" i="1" s="1"/>
  <c r="L305" i="1"/>
  <c r="M305" i="1" s="1"/>
  <c r="N304" i="1"/>
  <c r="O304" i="1" s="1"/>
  <c r="L304" i="1"/>
  <c r="M304" i="1" s="1"/>
  <c r="N303" i="1"/>
  <c r="O303" i="1" s="1"/>
  <c r="L303" i="1"/>
  <c r="M303" i="1" s="1"/>
  <c r="N302" i="1"/>
  <c r="O302" i="1" s="1"/>
  <c r="L302" i="1"/>
  <c r="M302" i="1" s="1"/>
  <c r="N301" i="1"/>
  <c r="O301" i="1" s="1"/>
  <c r="L301" i="1"/>
  <c r="M301" i="1" s="1"/>
  <c r="N300" i="1"/>
  <c r="O300" i="1" s="1"/>
  <c r="L300" i="1"/>
  <c r="M300" i="1" s="1"/>
  <c r="N299" i="1"/>
  <c r="O299" i="1" s="1"/>
  <c r="L299" i="1"/>
  <c r="M299" i="1" s="1"/>
  <c r="N298" i="1"/>
  <c r="O298" i="1" s="1"/>
  <c r="L298" i="1"/>
  <c r="M298" i="1" s="1"/>
  <c r="N297" i="1"/>
  <c r="O297" i="1" s="1"/>
  <c r="L297" i="1"/>
  <c r="M297" i="1" s="1"/>
  <c r="N296" i="1"/>
  <c r="O296" i="1" s="1"/>
  <c r="L296" i="1"/>
  <c r="M296" i="1" s="1"/>
  <c r="N295" i="1"/>
  <c r="O295" i="1" s="1"/>
  <c r="L295" i="1"/>
  <c r="M295" i="1" s="1"/>
  <c r="N294" i="1"/>
  <c r="O294" i="1" s="1"/>
  <c r="L294" i="1"/>
  <c r="M294" i="1" s="1"/>
  <c r="N293" i="1"/>
  <c r="O293" i="1" s="1"/>
  <c r="L293" i="1"/>
  <c r="M293" i="1" s="1"/>
  <c r="N292" i="1"/>
  <c r="O292" i="1" s="1"/>
  <c r="L292" i="1"/>
  <c r="M292" i="1" s="1"/>
  <c r="N291" i="1"/>
  <c r="O291" i="1" s="1"/>
  <c r="L291" i="1"/>
  <c r="M291" i="1" s="1"/>
  <c r="N290" i="1"/>
  <c r="O290" i="1" s="1"/>
  <c r="L290" i="1"/>
  <c r="M290" i="1" s="1"/>
  <c r="N289" i="1"/>
  <c r="O289" i="1" s="1"/>
  <c r="L289" i="1"/>
  <c r="M289" i="1" s="1"/>
  <c r="N288" i="1"/>
  <c r="O288" i="1" s="1"/>
  <c r="L288" i="1"/>
  <c r="M288" i="1" s="1"/>
  <c r="N287" i="1"/>
  <c r="O287" i="1" s="1"/>
  <c r="L287" i="1"/>
  <c r="M287" i="1" s="1"/>
  <c r="N286" i="1"/>
  <c r="O286" i="1" s="1"/>
  <c r="L286" i="1"/>
  <c r="M286" i="1" s="1"/>
  <c r="N285" i="1"/>
  <c r="O285" i="1" s="1"/>
  <c r="L285" i="1"/>
  <c r="M285" i="1" s="1"/>
  <c r="N284" i="1"/>
  <c r="O284" i="1" s="1"/>
  <c r="L284" i="1"/>
  <c r="M284" i="1" s="1"/>
  <c r="N282" i="1"/>
  <c r="O282" i="1" s="1"/>
  <c r="L282" i="1"/>
  <c r="M282" i="1" s="1"/>
  <c r="N281" i="1"/>
  <c r="O281" i="1" s="1"/>
  <c r="L281" i="1"/>
  <c r="M281" i="1" s="1"/>
  <c r="N280" i="1"/>
  <c r="O280" i="1" s="1"/>
  <c r="L280" i="1"/>
  <c r="M280" i="1" s="1"/>
  <c r="N279" i="1"/>
  <c r="O279" i="1" s="1"/>
  <c r="L279" i="1"/>
  <c r="M279" i="1" s="1"/>
  <c r="N278" i="1"/>
  <c r="O278" i="1" s="1"/>
  <c r="L278" i="1"/>
  <c r="M278" i="1" s="1"/>
  <c r="N277" i="1"/>
  <c r="O277" i="1" s="1"/>
  <c r="L277" i="1"/>
  <c r="M277" i="1" s="1"/>
  <c r="N276" i="1"/>
  <c r="O276" i="1" s="1"/>
  <c r="L276" i="1"/>
  <c r="M276" i="1" s="1"/>
  <c r="N275" i="1"/>
  <c r="O275" i="1" s="1"/>
  <c r="L275" i="1"/>
  <c r="M275" i="1" s="1"/>
  <c r="N274" i="1"/>
  <c r="O274" i="1" s="1"/>
  <c r="L274" i="1"/>
  <c r="M274" i="1" s="1"/>
  <c r="N273" i="1"/>
  <c r="O273" i="1" s="1"/>
  <c r="L273" i="1"/>
  <c r="M273" i="1" s="1"/>
  <c r="N271" i="1"/>
  <c r="O271" i="1" s="1"/>
  <c r="L271" i="1"/>
  <c r="M271" i="1" s="1"/>
  <c r="N270" i="1"/>
  <c r="O270" i="1" s="1"/>
  <c r="L270" i="1"/>
  <c r="M270" i="1" s="1"/>
  <c r="N269" i="1"/>
  <c r="O269" i="1" s="1"/>
  <c r="L269" i="1"/>
  <c r="M269" i="1" s="1"/>
  <c r="N268" i="1"/>
  <c r="O268" i="1" s="1"/>
  <c r="L268" i="1"/>
  <c r="M268" i="1" s="1"/>
  <c r="N265" i="1"/>
  <c r="O265" i="1" s="1"/>
  <c r="L265" i="1"/>
  <c r="M265" i="1" s="1"/>
  <c r="N264" i="1"/>
  <c r="O264" i="1" s="1"/>
  <c r="L264" i="1"/>
  <c r="M264" i="1" s="1"/>
  <c r="N262" i="1"/>
  <c r="L262" i="1"/>
  <c r="N254" i="1"/>
  <c r="O254" i="1" s="1"/>
  <c r="L254" i="1"/>
  <c r="M254" i="1" s="1"/>
  <c r="N253" i="1"/>
  <c r="O253" i="1" s="1"/>
  <c r="L253" i="1"/>
  <c r="M253" i="1" s="1"/>
  <c r="N252" i="1"/>
  <c r="O252" i="1" s="1"/>
  <c r="L252" i="1"/>
  <c r="M252" i="1" s="1"/>
  <c r="N251" i="1"/>
  <c r="O251" i="1" s="1"/>
  <c r="L251" i="1"/>
  <c r="M251" i="1" s="1"/>
  <c r="N250" i="1"/>
  <c r="O250" i="1" s="1"/>
  <c r="L250" i="1"/>
  <c r="M250" i="1" s="1"/>
  <c r="N249" i="1"/>
  <c r="O249" i="1" s="1"/>
  <c r="L249" i="1"/>
  <c r="M249" i="1" s="1"/>
  <c r="N248" i="1"/>
  <c r="O248" i="1" s="1"/>
  <c r="L248" i="1"/>
  <c r="M248" i="1" s="1"/>
  <c r="N247" i="1"/>
  <c r="O247" i="1" s="1"/>
  <c r="L247" i="1"/>
  <c r="M247" i="1" s="1"/>
  <c r="N246" i="1"/>
  <c r="O246" i="1" s="1"/>
  <c r="L246" i="1"/>
  <c r="M246" i="1" s="1"/>
  <c r="N245" i="1"/>
  <c r="O245" i="1" s="1"/>
  <c r="L245" i="1"/>
  <c r="M245" i="1" s="1"/>
  <c r="N244" i="1"/>
  <c r="O244" i="1" s="1"/>
  <c r="L244" i="1"/>
  <c r="M244" i="1" s="1"/>
  <c r="N243" i="1"/>
  <c r="O243" i="1" s="1"/>
  <c r="L243" i="1"/>
  <c r="M243" i="1" s="1"/>
  <c r="N242" i="1"/>
  <c r="O242" i="1" s="1"/>
  <c r="L242" i="1"/>
  <c r="M242" i="1" s="1"/>
  <c r="N241" i="1"/>
  <c r="O241" i="1" s="1"/>
  <c r="L241" i="1"/>
  <c r="M241" i="1" s="1"/>
  <c r="N240" i="1"/>
  <c r="O240" i="1" s="1"/>
  <c r="L240" i="1"/>
  <c r="M240" i="1" s="1"/>
  <c r="N239" i="1"/>
  <c r="O239" i="1" s="1"/>
  <c r="L239" i="1"/>
  <c r="M239" i="1" s="1"/>
  <c r="N238" i="1"/>
  <c r="O238" i="1" s="1"/>
  <c r="L238" i="1"/>
  <c r="M238" i="1" s="1"/>
  <c r="N237" i="1"/>
  <c r="O237" i="1" s="1"/>
  <c r="L237" i="1"/>
  <c r="M237" i="1" s="1"/>
  <c r="N236" i="1"/>
  <c r="O236" i="1" s="1"/>
  <c r="L236" i="1"/>
  <c r="M236" i="1" s="1"/>
  <c r="N235" i="1"/>
  <c r="O235" i="1" s="1"/>
  <c r="L235" i="1"/>
  <c r="M235" i="1" s="1"/>
  <c r="N234" i="1"/>
  <c r="O234" i="1" s="1"/>
  <c r="L234" i="1"/>
  <c r="M234" i="1" s="1"/>
  <c r="N233" i="1"/>
  <c r="O233" i="1" s="1"/>
  <c r="L233" i="1"/>
  <c r="M233" i="1" s="1"/>
  <c r="N232" i="1"/>
  <c r="O232" i="1" s="1"/>
  <c r="L232" i="1"/>
  <c r="M232" i="1" s="1"/>
  <c r="N230" i="1"/>
  <c r="O230" i="1" s="1"/>
  <c r="L230" i="1"/>
  <c r="M230" i="1" s="1"/>
  <c r="N229" i="1"/>
  <c r="O229" i="1" s="1"/>
  <c r="L229" i="1"/>
  <c r="M229" i="1" s="1"/>
  <c r="N228" i="1"/>
  <c r="O228" i="1" s="1"/>
  <c r="L228" i="1"/>
  <c r="M228" i="1" s="1"/>
  <c r="N227" i="1"/>
  <c r="O227" i="1" s="1"/>
  <c r="L227" i="1"/>
  <c r="M227" i="1" s="1"/>
  <c r="N226" i="1"/>
  <c r="O226" i="1" s="1"/>
  <c r="L226" i="1"/>
  <c r="M226" i="1" s="1"/>
  <c r="N225" i="1"/>
  <c r="O225" i="1" s="1"/>
  <c r="L225" i="1"/>
  <c r="M225" i="1" s="1"/>
  <c r="N224" i="1"/>
  <c r="O224" i="1" s="1"/>
  <c r="L224" i="1"/>
  <c r="M224" i="1" s="1"/>
  <c r="N223" i="1"/>
  <c r="O223" i="1" s="1"/>
  <c r="L223" i="1"/>
  <c r="M223" i="1" s="1"/>
  <c r="N222" i="1"/>
  <c r="O222" i="1" s="1"/>
  <c r="L222" i="1"/>
  <c r="M222" i="1" s="1"/>
  <c r="N221" i="1"/>
  <c r="O221" i="1" s="1"/>
  <c r="L221" i="1"/>
  <c r="M221" i="1" s="1"/>
  <c r="N219" i="1"/>
  <c r="O219" i="1" s="1"/>
  <c r="L219" i="1"/>
  <c r="M219" i="1" s="1"/>
  <c r="N218" i="1"/>
  <c r="O218" i="1" s="1"/>
  <c r="L218" i="1"/>
  <c r="M218" i="1" s="1"/>
  <c r="N217" i="1"/>
  <c r="O217" i="1" s="1"/>
  <c r="L217" i="1"/>
  <c r="M217" i="1" s="1"/>
  <c r="N216" i="1"/>
  <c r="O216" i="1" s="1"/>
  <c r="L216" i="1"/>
  <c r="M216" i="1" s="1"/>
  <c r="N213" i="1"/>
  <c r="O213" i="1" s="1"/>
  <c r="L213" i="1"/>
  <c r="M213" i="1" s="1"/>
  <c r="N212" i="1"/>
  <c r="O212" i="1" s="1"/>
  <c r="L212" i="1"/>
  <c r="M212" i="1" s="1"/>
  <c r="N210" i="1"/>
  <c r="L210" i="1"/>
  <c r="N202" i="1"/>
  <c r="O202" i="1" s="1"/>
  <c r="L202" i="1"/>
  <c r="M202" i="1" s="1"/>
  <c r="N201" i="1"/>
  <c r="O201" i="1" s="1"/>
  <c r="L201" i="1"/>
  <c r="M201" i="1" s="1"/>
  <c r="N200" i="1"/>
  <c r="O200" i="1" s="1"/>
  <c r="L200" i="1"/>
  <c r="M200" i="1" s="1"/>
  <c r="N199" i="1"/>
  <c r="O199" i="1" s="1"/>
  <c r="L199" i="1"/>
  <c r="M199" i="1" s="1"/>
  <c r="N198" i="1"/>
  <c r="O198" i="1" s="1"/>
  <c r="L198" i="1"/>
  <c r="M198" i="1" s="1"/>
  <c r="N197" i="1"/>
  <c r="O197" i="1" s="1"/>
  <c r="L197" i="1"/>
  <c r="M197" i="1" s="1"/>
  <c r="N196" i="1"/>
  <c r="O196" i="1" s="1"/>
  <c r="L196" i="1"/>
  <c r="M196" i="1" s="1"/>
  <c r="N195" i="1"/>
  <c r="O195" i="1" s="1"/>
  <c r="L195" i="1"/>
  <c r="M195" i="1" s="1"/>
  <c r="N194" i="1"/>
  <c r="O194" i="1" s="1"/>
  <c r="L194" i="1"/>
  <c r="M194" i="1" s="1"/>
  <c r="N193" i="1"/>
  <c r="O193" i="1" s="1"/>
  <c r="L193" i="1"/>
  <c r="M193" i="1" s="1"/>
  <c r="N192" i="1"/>
  <c r="O192" i="1" s="1"/>
  <c r="L192" i="1"/>
  <c r="M192" i="1" s="1"/>
  <c r="N191" i="1"/>
  <c r="O191" i="1" s="1"/>
  <c r="L191" i="1"/>
  <c r="M191" i="1" s="1"/>
  <c r="N190" i="1"/>
  <c r="O190" i="1" s="1"/>
  <c r="L190" i="1"/>
  <c r="M190" i="1" s="1"/>
  <c r="N189" i="1"/>
  <c r="O189" i="1" s="1"/>
  <c r="L189" i="1"/>
  <c r="M189" i="1" s="1"/>
  <c r="N188" i="1"/>
  <c r="O188" i="1" s="1"/>
  <c r="L188" i="1"/>
  <c r="M188" i="1" s="1"/>
  <c r="N187" i="1"/>
  <c r="O187" i="1" s="1"/>
  <c r="L187" i="1"/>
  <c r="M187" i="1" s="1"/>
  <c r="N186" i="1"/>
  <c r="O186" i="1" s="1"/>
  <c r="L186" i="1"/>
  <c r="M186" i="1" s="1"/>
  <c r="N185" i="1"/>
  <c r="O185" i="1" s="1"/>
  <c r="L185" i="1"/>
  <c r="M185" i="1" s="1"/>
  <c r="N184" i="1"/>
  <c r="O184" i="1" s="1"/>
  <c r="L184" i="1"/>
  <c r="M184" i="1" s="1"/>
  <c r="N183" i="1"/>
  <c r="O183" i="1" s="1"/>
  <c r="L183" i="1"/>
  <c r="M183" i="1" s="1"/>
  <c r="N182" i="1"/>
  <c r="O182" i="1" s="1"/>
  <c r="L182" i="1"/>
  <c r="M182" i="1" s="1"/>
  <c r="N181" i="1"/>
  <c r="O181" i="1" s="1"/>
  <c r="L181" i="1"/>
  <c r="M181" i="1" s="1"/>
  <c r="N180" i="1"/>
  <c r="O180" i="1" s="1"/>
  <c r="L180" i="1"/>
  <c r="M180" i="1" s="1"/>
  <c r="N178" i="1"/>
  <c r="O178" i="1" s="1"/>
  <c r="L178" i="1"/>
  <c r="M178" i="1" s="1"/>
  <c r="N177" i="1"/>
  <c r="O177" i="1" s="1"/>
  <c r="L177" i="1"/>
  <c r="M177" i="1" s="1"/>
  <c r="N176" i="1"/>
  <c r="O176" i="1" s="1"/>
  <c r="L176" i="1"/>
  <c r="M176" i="1" s="1"/>
  <c r="N175" i="1"/>
  <c r="O175" i="1" s="1"/>
  <c r="L175" i="1"/>
  <c r="M175" i="1" s="1"/>
  <c r="N174" i="1"/>
  <c r="O174" i="1" s="1"/>
  <c r="L174" i="1"/>
  <c r="M174" i="1" s="1"/>
  <c r="N173" i="1"/>
  <c r="O173" i="1" s="1"/>
  <c r="L173" i="1"/>
  <c r="M173" i="1" s="1"/>
  <c r="N172" i="1"/>
  <c r="O172" i="1" s="1"/>
  <c r="L172" i="1"/>
  <c r="M172" i="1" s="1"/>
  <c r="N171" i="1"/>
  <c r="O171" i="1" s="1"/>
  <c r="L171" i="1"/>
  <c r="M171" i="1" s="1"/>
  <c r="N170" i="1"/>
  <c r="O170" i="1" s="1"/>
  <c r="L170" i="1"/>
  <c r="M170" i="1" s="1"/>
  <c r="N169" i="1"/>
  <c r="O169" i="1" s="1"/>
  <c r="L169" i="1"/>
  <c r="M169" i="1" s="1"/>
  <c r="N167" i="1"/>
  <c r="O167" i="1" s="1"/>
  <c r="L167" i="1"/>
  <c r="M167" i="1" s="1"/>
  <c r="N166" i="1"/>
  <c r="O166" i="1" s="1"/>
  <c r="L166" i="1"/>
  <c r="M166" i="1" s="1"/>
  <c r="N165" i="1"/>
  <c r="O165" i="1" s="1"/>
  <c r="L165" i="1"/>
  <c r="M165" i="1" s="1"/>
  <c r="N164" i="1"/>
  <c r="O164" i="1" s="1"/>
  <c r="L164" i="1"/>
  <c r="M164" i="1" s="1"/>
  <c r="N161" i="1"/>
  <c r="O161" i="1" s="1"/>
  <c r="L161" i="1"/>
  <c r="M161" i="1" s="1"/>
  <c r="N160" i="1"/>
  <c r="O160" i="1" s="1"/>
  <c r="L160" i="1"/>
  <c r="M160" i="1" s="1"/>
  <c r="N158" i="1"/>
  <c r="L158" i="1"/>
  <c r="N150" i="1"/>
  <c r="O150" i="1" s="1"/>
  <c r="L150" i="1"/>
  <c r="M150" i="1" s="1"/>
  <c r="N149" i="1"/>
  <c r="O149" i="1" s="1"/>
  <c r="L149" i="1"/>
  <c r="M149" i="1" s="1"/>
  <c r="N148" i="1"/>
  <c r="O148" i="1" s="1"/>
  <c r="L148" i="1"/>
  <c r="M148" i="1" s="1"/>
  <c r="N147" i="1"/>
  <c r="O147" i="1" s="1"/>
  <c r="L147" i="1"/>
  <c r="M147" i="1" s="1"/>
  <c r="N146" i="1"/>
  <c r="O146" i="1" s="1"/>
  <c r="L146" i="1"/>
  <c r="M146" i="1" s="1"/>
  <c r="N145" i="1"/>
  <c r="O145" i="1" s="1"/>
  <c r="L145" i="1"/>
  <c r="M145" i="1" s="1"/>
  <c r="N144" i="1"/>
  <c r="O144" i="1" s="1"/>
  <c r="L144" i="1"/>
  <c r="M144" i="1" s="1"/>
  <c r="N143" i="1"/>
  <c r="O143" i="1" s="1"/>
  <c r="L143" i="1"/>
  <c r="M143" i="1" s="1"/>
  <c r="N142" i="1"/>
  <c r="O142" i="1" s="1"/>
  <c r="L142" i="1"/>
  <c r="M142" i="1" s="1"/>
  <c r="N141" i="1"/>
  <c r="O141" i="1" s="1"/>
  <c r="L141" i="1"/>
  <c r="M141" i="1" s="1"/>
  <c r="N140" i="1"/>
  <c r="O140" i="1" s="1"/>
  <c r="L140" i="1"/>
  <c r="M140" i="1" s="1"/>
  <c r="N139" i="1"/>
  <c r="O139" i="1" s="1"/>
  <c r="L139" i="1"/>
  <c r="M139" i="1" s="1"/>
  <c r="N138" i="1"/>
  <c r="O138" i="1" s="1"/>
  <c r="L138" i="1"/>
  <c r="M138" i="1" s="1"/>
  <c r="N137" i="1"/>
  <c r="O137" i="1" s="1"/>
  <c r="L137" i="1"/>
  <c r="M137" i="1" s="1"/>
  <c r="N136" i="1"/>
  <c r="O136" i="1" s="1"/>
  <c r="L136" i="1"/>
  <c r="M136" i="1" s="1"/>
  <c r="N135" i="1"/>
  <c r="O135" i="1" s="1"/>
  <c r="L135" i="1"/>
  <c r="M135" i="1" s="1"/>
  <c r="N134" i="1"/>
  <c r="O134" i="1" s="1"/>
  <c r="L134" i="1"/>
  <c r="M134" i="1" s="1"/>
  <c r="N133" i="1"/>
  <c r="O133" i="1" s="1"/>
  <c r="L133" i="1"/>
  <c r="M133" i="1" s="1"/>
  <c r="N132" i="1"/>
  <c r="O132" i="1" s="1"/>
  <c r="L132" i="1"/>
  <c r="M132" i="1" s="1"/>
  <c r="N131" i="1"/>
  <c r="O131" i="1" s="1"/>
  <c r="L131" i="1"/>
  <c r="M131" i="1" s="1"/>
  <c r="N130" i="1"/>
  <c r="O130" i="1" s="1"/>
  <c r="L130" i="1"/>
  <c r="M130" i="1" s="1"/>
  <c r="N129" i="1"/>
  <c r="O129" i="1" s="1"/>
  <c r="L129" i="1"/>
  <c r="M129" i="1" s="1"/>
  <c r="N128" i="1"/>
  <c r="O128" i="1" s="1"/>
  <c r="L128" i="1"/>
  <c r="M128" i="1" s="1"/>
  <c r="N126" i="1"/>
  <c r="O126" i="1" s="1"/>
  <c r="L126" i="1"/>
  <c r="M126" i="1" s="1"/>
  <c r="N125" i="1"/>
  <c r="O125" i="1" s="1"/>
  <c r="L125" i="1"/>
  <c r="M125" i="1" s="1"/>
  <c r="N124" i="1"/>
  <c r="O124" i="1" s="1"/>
  <c r="L124" i="1"/>
  <c r="M124" i="1" s="1"/>
  <c r="N123" i="1"/>
  <c r="O123" i="1" s="1"/>
  <c r="L123" i="1"/>
  <c r="M123" i="1" s="1"/>
  <c r="N122" i="1"/>
  <c r="O122" i="1" s="1"/>
  <c r="L122" i="1"/>
  <c r="M122" i="1" s="1"/>
  <c r="N121" i="1"/>
  <c r="O121" i="1" s="1"/>
  <c r="L121" i="1"/>
  <c r="M121" i="1" s="1"/>
  <c r="N120" i="1"/>
  <c r="O120" i="1" s="1"/>
  <c r="L120" i="1"/>
  <c r="M120" i="1" s="1"/>
  <c r="N119" i="1"/>
  <c r="O119" i="1" s="1"/>
  <c r="L119" i="1"/>
  <c r="M119" i="1" s="1"/>
  <c r="N118" i="1"/>
  <c r="O118" i="1" s="1"/>
  <c r="L118" i="1"/>
  <c r="M118" i="1" s="1"/>
  <c r="N117" i="1"/>
  <c r="O117" i="1" s="1"/>
  <c r="L117" i="1"/>
  <c r="M117" i="1" s="1"/>
  <c r="N115" i="1"/>
  <c r="O115" i="1" s="1"/>
  <c r="L115" i="1"/>
  <c r="M115" i="1" s="1"/>
  <c r="N114" i="1"/>
  <c r="O114" i="1" s="1"/>
  <c r="L114" i="1"/>
  <c r="M114" i="1" s="1"/>
  <c r="N113" i="1"/>
  <c r="O113" i="1" s="1"/>
  <c r="L113" i="1"/>
  <c r="M113" i="1" s="1"/>
  <c r="N112" i="1"/>
  <c r="O112" i="1" s="1"/>
  <c r="L112" i="1"/>
  <c r="M112" i="1" s="1"/>
  <c r="N109" i="1"/>
  <c r="O109" i="1" s="1"/>
  <c r="L109" i="1"/>
  <c r="M109" i="1" s="1"/>
  <c r="N108" i="1"/>
  <c r="O108" i="1" s="1"/>
  <c r="L108" i="1"/>
  <c r="M108" i="1" s="1"/>
  <c r="N106" i="1"/>
  <c r="L106" i="1"/>
  <c r="N98" i="1"/>
  <c r="O98" i="1" s="1"/>
  <c r="L98" i="1"/>
  <c r="M98" i="1" s="1"/>
  <c r="N97" i="1"/>
  <c r="O97" i="1" s="1"/>
  <c r="L97" i="1"/>
  <c r="M97" i="1" s="1"/>
  <c r="N96" i="1"/>
  <c r="O96" i="1" s="1"/>
  <c r="L96" i="1"/>
  <c r="M96" i="1" s="1"/>
  <c r="N95" i="1"/>
  <c r="O95" i="1" s="1"/>
  <c r="L95" i="1"/>
  <c r="M95" i="1" s="1"/>
  <c r="N94" i="1"/>
  <c r="O94" i="1" s="1"/>
  <c r="L94" i="1"/>
  <c r="M94" i="1" s="1"/>
  <c r="N93" i="1"/>
  <c r="O93" i="1" s="1"/>
  <c r="L93" i="1"/>
  <c r="M93" i="1" s="1"/>
  <c r="N92" i="1"/>
  <c r="O92" i="1" s="1"/>
  <c r="L92" i="1"/>
  <c r="M92" i="1" s="1"/>
  <c r="N91" i="1"/>
  <c r="O91" i="1" s="1"/>
  <c r="L91" i="1"/>
  <c r="M91" i="1" s="1"/>
  <c r="N90" i="1"/>
  <c r="O90" i="1" s="1"/>
  <c r="L90" i="1"/>
  <c r="M90" i="1" s="1"/>
  <c r="N89" i="1"/>
  <c r="O89" i="1" s="1"/>
  <c r="L89" i="1"/>
  <c r="M89" i="1" s="1"/>
  <c r="N88" i="1"/>
  <c r="O88" i="1" s="1"/>
  <c r="L88" i="1"/>
  <c r="M88" i="1" s="1"/>
  <c r="N87" i="1"/>
  <c r="O87" i="1" s="1"/>
  <c r="L87" i="1"/>
  <c r="M87" i="1" s="1"/>
  <c r="N86" i="1"/>
  <c r="O86" i="1" s="1"/>
  <c r="L86" i="1"/>
  <c r="M86" i="1" s="1"/>
  <c r="N85" i="1"/>
  <c r="O85" i="1" s="1"/>
  <c r="L85" i="1"/>
  <c r="M85" i="1" s="1"/>
  <c r="N84" i="1"/>
  <c r="O84" i="1" s="1"/>
  <c r="L84" i="1"/>
  <c r="M84" i="1" s="1"/>
  <c r="N83" i="1"/>
  <c r="O83" i="1" s="1"/>
  <c r="L83" i="1"/>
  <c r="M83" i="1" s="1"/>
  <c r="N82" i="1"/>
  <c r="O82" i="1" s="1"/>
  <c r="L82" i="1"/>
  <c r="M82" i="1" s="1"/>
  <c r="N81" i="1"/>
  <c r="O81" i="1" s="1"/>
  <c r="L81" i="1"/>
  <c r="M81" i="1" s="1"/>
  <c r="N80" i="1"/>
  <c r="O80" i="1" s="1"/>
  <c r="L80" i="1"/>
  <c r="M80" i="1" s="1"/>
  <c r="N79" i="1"/>
  <c r="O79" i="1" s="1"/>
  <c r="L79" i="1"/>
  <c r="M79" i="1" s="1"/>
  <c r="N78" i="1"/>
  <c r="O78" i="1" s="1"/>
  <c r="L78" i="1"/>
  <c r="M78" i="1" s="1"/>
  <c r="N77" i="1"/>
  <c r="O77" i="1" s="1"/>
  <c r="L77" i="1"/>
  <c r="M77" i="1" s="1"/>
  <c r="N76" i="1"/>
  <c r="O76" i="1" s="1"/>
  <c r="L76" i="1"/>
  <c r="M76" i="1" s="1"/>
  <c r="N74" i="1"/>
  <c r="O74" i="1" s="1"/>
  <c r="L74" i="1"/>
  <c r="M74" i="1" s="1"/>
  <c r="N73" i="1"/>
  <c r="O73" i="1" s="1"/>
  <c r="L73" i="1"/>
  <c r="M73" i="1" s="1"/>
  <c r="N72" i="1"/>
  <c r="O72" i="1" s="1"/>
  <c r="L72" i="1"/>
  <c r="M72" i="1" s="1"/>
  <c r="N71" i="1"/>
  <c r="O71" i="1" s="1"/>
  <c r="L71" i="1"/>
  <c r="M71" i="1" s="1"/>
  <c r="N70" i="1"/>
  <c r="O70" i="1" s="1"/>
  <c r="L70" i="1"/>
  <c r="M70" i="1" s="1"/>
  <c r="N69" i="1"/>
  <c r="O69" i="1" s="1"/>
  <c r="L69" i="1"/>
  <c r="M69" i="1" s="1"/>
  <c r="N68" i="1"/>
  <c r="O68" i="1" s="1"/>
  <c r="L68" i="1"/>
  <c r="M68" i="1" s="1"/>
  <c r="N67" i="1"/>
  <c r="O67" i="1" s="1"/>
  <c r="L67" i="1"/>
  <c r="M67" i="1" s="1"/>
  <c r="N66" i="1"/>
  <c r="O66" i="1" s="1"/>
  <c r="L66" i="1"/>
  <c r="M66" i="1" s="1"/>
  <c r="N65" i="1"/>
  <c r="O65" i="1" s="1"/>
  <c r="L65" i="1"/>
  <c r="M65" i="1" s="1"/>
  <c r="N63" i="1"/>
  <c r="O63" i="1" s="1"/>
  <c r="L63" i="1"/>
  <c r="M63" i="1" s="1"/>
  <c r="N62" i="1"/>
  <c r="O62" i="1" s="1"/>
  <c r="L62" i="1"/>
  <c r="M62" i="1" s="1"/>
  <c r="N61" i="1"/>
  <c r="O61" i="1" s="1"/>
  <c r="L61" i="1"/>
  <c r="M61" i="1" s="1"/>
  <c r="N60" i="1"/>
  <c r="O60" i="1" s="1"/>
  <c r="L60" i="1"/>
  <c r="M60" i="1" s="1"/>
  <c r="N57" i="1"/>
  <c r="O57" i="1" s="1"/>
  <c r="L57" i="1"/>
  <c r="M57" i="1" s="1"/>
  <c r="N56" i="1"/>
  <c r="O56" i="1" s="1"/>
  <c r="L56" i="1"/>
  <c r="M56" i="1" s="1"/>
  <c r="N54" i="1"/>
  <c r="L54" i="1"/>
  <c r="N46" i="1"/>
  <c r="O46" i="1" s="1"/>
  <c r="L46" i="1"/>
  <c r="M46" i="1" s="1"/>
  <c r="N45" i="1"/>
  <c r="O45" i="1" s="1"/>
  <c r="L45" i="1"/>
  <c r="M45" i="1" s="1"/>
  <c r="N44" i="1"/>
  <c r="O44" i="1" s="1"/>
  <c r="L44" i="1"/>
  <c r="M44" i="1" s="1"/>
  <c r="N43" i="1"/>
  <c r="O43" i="1" s="1"/>
  <c r="L43" i="1"/>
  <c r="M43" i="1" s="1"/>
  <c r="N42" i="1"/>
  <c r="O42" i="1" s="1"/>
  <c r="L42" i="1"/>
  <c r="M42" i="1" s="1"/>
  <c r="N41" i="1"/>
  <c r="O41" i="1" s="1"/>
  <c r="L41" i="1"/>
  <c r="M41" i="1" s="1"/>
  <c r="N40" i="1"/>
  <c r="O40" i="1" s="1"/>
  <c r="L40" i="1"/>
  <c r="M40" i="1" s="1"/>
  <c r="N39" i="1"/>
  <c r="O39" i="1" s="1"/>
  <c r="L39" i="1"/>
  <c r="M39" i="1" s="1"/>
  <c r="N38" i="1"/>
  <c r="O38" i="1" s="1"/>
  <c r="L38" i="1"/>
  <c r="M38" i="1" s="1"/>
  <c r="N37" i="1"/>
  <c r="O37" i="1" s="1"/>
  <c r="L37" i="1"/>
  <c r="M37" i="1" s="1"/>
  <c r="N36" i="1"/>
  <c r="O36" i="1" s="1"/>
  <c r="L36" i="1"/>
  <c r="M36" i="1" s="1"/>
  <c r="N35" i="1"/>
  <c r="O35" i="1" s="1"/>
  <c r="L35" i="1"/>
  <c r="M35" i="1" s="1"/>
  <c r="N34" i="1"/>
  <c r="O34" i="1" s="1"/>
  <c r="L34" i="1"/>
  <c r="M34" i="1" s="1"/>
  <c r="N33" i="1"/>
  <c r="O33" i="1" s="1"/>
  <c r="L33" i="1"/>
  <c r="M33" i="1" s="1"/>
  <c r="N32" i="1"/>
  <c r="O32" i="1" s="1"/>
  <c r="L32" i="1"/>
  <c r="M32" i="1" s="1"/>
  <c r="N31" i="1"/>
  <c r="O31" i="1" s="1"/>
  <c r="L31" i="1"/>
  <c r="M31" i="1" s="1"/>
  <c r="N30" i="1"/>
  <c r="O30" i="1" s="1"/>
  <c r="L30" i="1"/>
  <c r="M30" i="1" s="1"/>
  <c r="N29" i="1"/>
  <c r="O29" i="1" s="1"/>
  <c r="L29" i="1"/>
  <c r="M29" i="1" s="1"/>
  <c r="N28" i="1"/>
  <c r="O28" i="1" s="1"/>
  <c r="L28" i="1"/>
  <c r="M28" i="1" s="1"/>
  <c r="N27" i="1"/>
  <c r="O27" i="1" s="1"/>
  <c r="L27" i="1"/>
  <c r="M27" i="1" s="1"/>
  <c r="N26" i="1"/>
  <c r="O26" i="1" s="1"/>
  <c r="L26" i="1"/>
  <c r="M26" i="1" s="1"/>
  <c r="N25" i="1"/>
  <c r="O25" i="1" s="1"/>
  <c r="L25" i="1"/>
  <c r="M25" i="1" s="1"/>
  <c r="N24" i="1"/>
  <c r="O24" i="1" s="1"/>
  <c r="L24" i="1"/>
  <c r="M24" i="1" s="1"/>
  <c r="N22" i="1"/>
  <c r="O22" i="1" s="1"/>
  <c r="L22" i="1"/>
  <c r="M22" i="1" s="1"/>
  <c r="N21" i="1"/>
  <c r="O21" i="1" s="1"/>
  <c r="L21" i="1"/>
  <c r="M21" i="1" s="1"/>
  <c r="N20" i="1"/>
  <c r="O20" i="1" s="1"/>
  <c r="L20" i="1"/>
  <c r="M20" i="1" s="1"/>
  <c r="N19" i="1"/>
  <c r="O19" i="1" s="1"/>
  <c r="L19" i="1"/>
  <c r="M19" i="1" s="1"/>
  <c r="N18" i="1"/>
  <c r="O18" i="1" s="1"/>
  <c r="L18" i="1"/>
  <c r="M18" i="1" s="1"/>
  <c r="N17" i="1"/>
  <c r="O17" i="1" s="1"/>
  <c r="L17" i="1"/>
  <c r="M17" i="1" s="1"/>
  <c r="N16" i="1"/>
  <c r="O16" i="1" s="1"/>
  <c r="L16" i="1"/>
  <c r="M16" i="1" s="1"/>
  <c r="N15" i="1"/>
  <c r="O15" i="1" s="1"/>
  <c r="L15" i="1"/>
  <c r="M15" i="1" s="1"/>
  <c r="N14" i="1"/>
  <c r="O14" i="1" s="1"/>
  <c r="L14" i="1"/>
  <c r="M14" i="1" s="1"/>
  <c r="N13" i="1"/>
  <c r="O13" i="1" s="1"/>
  <c r="L13" i="1"/>
  <c r="M13" i="1" s="1"/>
  <c r="N11" i="1"/>
  <c r="O11" i="1" s="1"/>
  <c r="L11" i="1"/>
  <c r="M11" i="1" s="1"/>
  <c r="N10" i="1"/>
  <c r="O10" i="1" s="1"/>
  <c r="L10" i="1"/>
  <c r="M10" i="1" s="1"/>
  <c r="N9" i="1"/>
  <c r="O9" i="1" s="1"/>
  <c r="L9" i="1"/>
  <c r="M9" i="1" s="1"/>
  <c r="N8" i="1"/>
  <c r="O8" i="1" s="1"/>
  <c r="L8" i="1"/>
  <c r="M8" i="1" s="1"/>
  <c r="N5" i="1"/>
  <c r="O5" i="1" s="1"/>
  <c r="L5" i="1"/>
  <c r="M5" i="1" s="1"/>
  <c r="N4" i="1"/>
  <c r="O4" i="1" s="1"/>
  <c r="L4" i="1"/>
  <c r="M4" i="1" s="1"/>
  <c r="N2" i="1"/>
  <c r="L2" i="1"/>
  <c r="J23" i="1"/>
  <c r="H23" i="1"/>
  <c r="F23" i="1"/>
  <c r="E23" i="1"/>
  <c r="C23" i="1"/>
  <c r="J587" i="1"/>
  <c r="H587" i="1"/>
  <c r="F587" i="1"/>
  <c r="E587" i="1"/>
  <c r="C587" i="1"/>
  <c r="J582" i="1"/>
  <c r="H582" i="1"/>
  <c r="F582" i="1"/>
  <c r="E582" i="1"/>
  <c r="C582" i="1"/>
  <c r="J576" i="1"/>
  <c r="H576" i="1"/>
  <c r="F576" i="1"/>
  <c r="E576" i="1"/>
  <c r="C576" i="1"/>
  <c r="J12" i="1"/>
  <c r="H12" i="1"/>
  <c r="F12" i="1"/>
  <c r="E12" i="1"/>
  <c r="C12" i="1"/>
  <c r="J7" i="1"/>
  <c r="H7" i="1"/>
  <c r="F7" i="1"/>
  <c r="E7" i="1"/>
  <c r="C7" i="1"/>
  <c r="J3" i="1"/>
  <c r="H3" i="1"/>
  <c r="H657" i="1" s="1"/>
  <c r="F3" i="1"/>
  <c r="E3" i="1"/>
  <c r="E657" i="1" s="1"/>
  <c r="C3" i="1"/>
  <c r="L528" i="1" l="1"/>
  <c r="M528" i="1" s="1"/>
  <c r="N215" i="1"/>
  <c r="O215" i="1" s="1"/>
  <c r="N320" i="1"/>
  <c r="O320" i="1" s="1"/>
  <c r="C371" i="1"/>
  <c r="D401" i="1" s="1"/>
  <c r="N325" i="1"/>
  <c r="O325" i="1" s="1"/>
  <c r="L325" i="1"/>
  <c r="M325" i="1" s="1"/>
  <c r="H214" i="1"/>
  <c r="I231" i="1" s="1"/>
  <c r="N336" i="1"/>
  <c r="O336" i="1" s="1"/>
  <c r="L179" i="1"/>
  <c r="M179" i="1" s="1"/>
  <c r="C657" i="1"/>
  <c r="F657" i="1"/>
  <c r="H423" i="1"/>
  <c r="I429" i="1" s="1"/>
  <c r="J657" i="1"/>
  <c r="L605" i="1"/>
  <c r="M605" i="1" s="1"/>
  <c r="C110" i="1"/>
  <c r="E371" i="1"/>
  <c r="E412" i="1" s="1"/>
  <c r="E413" i="1" s="1"/>
  <c r="L372" i="1"/>
  <c r="M372" i="1" s="1"/>
  <c r="L320" i="1"/>
  <c r="M320" i="1" s="1"/>
  <c r="H266" i="1"/>
  <c r="H307" i="1" s="1"/>
  <c r="H527" i="1"/>
  <c r="I544" i="1" s="1"/>
  <c r="C319" i="1"/>
  <c r="D325" i="1" s="1"/>
  <c r="F319" i="1"/>
  <c r="G336" i="1" s="1"/>
  <c r="E214" i="1"/>
  <c r="E255" i="1" s="1"/>
  <c r="E257" i="1" s="1"/>
  <c r="E258" i="1" s="1"/>
  <c r="N7" i="1"/>
  <c r="O7" i="1" s="1"/>
  <c r="E6" i="1"/>
  <c r="E47" i="1" s="1"/>
  <c r="C162" i="1"/>
  <c r="D179" i="1" s="1"/>
  <c r="J6" i="1"/>
  <c r="N621" i="1"/>
  <c r="O621" i="1" s="1"/>
  <c r="E266" i="1"/>
  <c r="E307" i="1" s="1"/>
  <c r="E308" i="1" s="1"/>
  <c r="H371" i="1"/>
  <c r="I388" i="1" s="1"/>
  <c r="N605" i="1"/>
  <c r="O605" i="1" s="1"/>
  <c r="F110" i="1"/>
  <c r="G127" i="1" s="1"/>
  <c r="H604" i="1"/>
  <c r="I610" i="1" s="1"/>
  <c r="J110" i="1"/>
  <c r="K127" i="1" s="1"/>
  <c r="C423" i="1"/>
  <c r="D440" i="1" s="1"/>
  <c r="F527" i="1"/>
  <c r="G544" i="1" s="1"/>
  <c r="E423" i="1"/>
  <c r="E464" i="1" s="1"/>
  <c r="E465" i="1" s="1"/>
  <c r="F266" i="1"/>
  <c r="G272" i="1" s="1"/>
  <c r="E319" i="1"/>
  <c r="E360" i="1" s="1"/>
  <c r="C527" i="1"/>
  <c r="D533" i="1" s="1"/>
  <c r="C6" i="1"/>
  <c r="F6" i="1"/>
  <c r="G23" i="1" s="1"/>
  <c r="L116" i="1"/>
  <c r="M116" i="1" s="1"/>
  <c r="H110" i="1"/>
  <c r="I116" i="1" s="1"/>
  <c r="J266" i="1"/>
  <c r="J307" i="1" s="1"/>
  <c r="J309" i="1" s="1"/>
  <c r="J310" i="1" s="1"/>
  <c r="F371" i="1"/>
  <c r="G377" i="1" s="1"/>
  <c r="E58" i="1"/>
  <c r="F58" i="1"/>
  <c r="E527" i="1"/>
  <c r="E568" i="1" s="1"/>
  <c r="J423" i="1"/>
  <c r="N12" i="1"/>
  <c r="O12" i="1" s="1"/>
  <c r="E162" i="1"/>
  <c r="E203" i="1" s="1"/>
  <c r="J371" i="1"/>
  <c r="K388" i="1" s="1"/>
  <c r="L621" i="1"/>
  <c r="M621" i="1" s="1"/>
  <c r="F162" i="1"/>
  <c r="G179" i="1" s="1"/>
  <c r="C266" i="1"/>
  <c r="D272" i="1" s="1"/>
  <c r="C475" i="1"/>
  <c r="D481" i="1" s="1"/>
  <c r="F475" i="1"/>
  <c r="G492" i="1" s="1"/>
  <c r="H475" i="1"/>
  <c r="H516" i="1" s="1"/>
  <c r="H518" i="1" s="1"/>
  <c r="H519" i="1" s="1"/>
  <c r="N23" i="1"/>
  <c r="O23" i="1" s="1"/>
  <c r="L610" i="1"/>
  <c r="M610" i="1" s="1"/>
  <c r="J162" i="1"/>
  <c r="K168" i="1" s="1"/>
  <c r="N610" i="1"/>
  <c r="O610" i="1" s="1"/>
  <c r="H319" i="1"/>
  <c r="J475" i="1"/>
  <c r="K476" i="1" s="1"/>
  <c r="C58" i="1"/>
  <c r="D64" i="1" s="1"/>
  <c r="F423" i="1"/>
  <c r="G429" i="1" s="1"/>
  <c r="L3" i="1"/>
  <c r="M3" i="1" s="1"/>
  <c r="H6" i="1"/>
  <c r="I23" i="1" s="1"/>
  <c r="J58" i="1"/>
  <c r="K64" i="1" s="1"/>
  <c r="L336" i="1"/>
  <c r="M336" i="1" s="1"/>
  <c r="E110" i="1"/>
  <c r="E151" i="1" s="1"/>
  <c r="H255" i="1"/>
  <c r="H257" i="1" s="1"/>
  <c r="H258" i="1" s="1"/>
  <c r="J527" i="1"/>
  <c r="K544" i="1" s="1"/>
  <c r="E475" i="1"/>
  <c r="E516" i="1" s="1"/>
  <c r="J319" i="1"/>
  <c r="K320" i="1" s="1"/>
  <c r="N544" i="1"/>
  <c r="O544" i="1" s="1"/>
  <c r="C214" i="1"/>
  <c r="F214" i="1"/>
  <c r="G231" i="1" s="1"/>
  <c r="J214" i="1"/>
  <c r="K215" i="1" s="1"/>
  <c r="H162" i="1"/>
  <c r="I163" i="1" s="1"/>
  <c r="H58" i="1"/>
  <c r="N116" i="1"/>
  <c r="O116" i="1" s="1"/>
  <c r="L220" i="1"/>
  <c r="M220" i="1" s="1"/>
  <c r="L168" i="1"/>
  <c r="M168" i="1" s="1"/>
  <c r="N492" i="1"/>
  <c r="O492" i="1" s="1"/>
  <c r="J604" i="1"/>
  <c r="K605" i="1" s="1"/>
  <c r="F604" i="1"/>
  <c r="G610" i="1" s="1"/>
  <c r="E604" i="1"/>
  <c r="L335" i="1"/>
  <c r="M335" i="1" s="1"/>
  <c r="N476" i="1"/>
  <c r="O476" i="1" s="1"/>
  <c r="N3" i="1"/>
  <c r="O3" i="1" s="1"/>
  <c r="C604" i="1"/>
  <c r="D605" i="1" s="1"/>
  <c r="N587" i="1"/>
  <c r="O587" i="1" s="1"/>
  <c r="L587" i="1"/>
  <c r="M587" i="1" s="1"/>
  <c r="N111" i="1"/>
  <c r="O111" i="1" s="1"/>
  <c r="L75" i="1"/>
  <c r="M75" i="1" s="1"/>
  <c r="N163" i="1"/>
  <c r="O163" i="1" s="1"/>
  <c r="L163" i="1"/>
  <c r="M163" i="1" s="1"/>
  <c r="N127" i="1"/>
  <c r="O127" i="1" s="1"/>
  <c r="L127" i="1"/>
  <c r="M127" i="1" s="1"/>
  <c r="L12" i="1"/>
  <c r="M12" i="1" s="1"/>
  <c r="L64" i="1"/>
  <c r="M64" i="1" s="1"/>
  <c r="N64" i="1"/>
  <c r="O64" i="1" s="1"/>
  <c r="J581" i="1"/>
  <c r="K582" i="1" s="1"/>
  <c r="N582" i="1"/>
  <c r="O582" i="1" s="1"/>
  <c r="L582" i="1"/>
  <c r="M582" i="1" s="1"/>
  <c r="L23" i="1"/>
  <c r="M23" i="1" s="1"/>
  <c r="L7" i="1"/>
  <c r="M7" i="1" s="1"/>
  <c r="N283" i="1"/>
  <c r="O283" i="1" s="1"/>
  <c r="L283" i="1"/>
  <c r="M283" i="1" s="1"/>
  <c r="N576" i="1"/>
  <c r="O576" i="1" s="1"/>
  <c r="L576" i="1"/>
  <c r="M576" i="1" s="1"/>
  <c r="L267" i="1"/>
  <c r="M267" i="1" s="1"/>
  <c r="N267" i="1"/>
  <c r="O267" i="1" s="1"/>
  <c r="N231" i="1"/>
  <c r="O231" i="1" s="1"/>
  <c r="L231" i="1"/>
  <c r="M231" i="1" s="1"/>
  <c r="N59" i="1"/>
  <c r="O59" i="1" s="1"/>
  <c r="L59" i="1"/>
  <c r="M59" i="1" s="1"/>
  <c r="L215" i="1"/>
  <c r="M215" i="1" s="1"/>
  <c r="N272" i="1"/>
  <c r="O272" i="1" s="1"/>
  <c r="L429" i="1"/>
  <c r="M429" i="1" s="1"/>
  <c r="L420" i="1"/>
  <c r="M420" i="1" s="1"/>
  <c r="L481" i="1"/>
  <c r="M481" i="1" s="1"/>
  <c r="N324" i="1"/>
  <c r="O324" i="1" s="1"/>
  <c r="N429" i="1"/>
  <c r="O429" i="1" s="1"/>
  <c r="N335" i="1"/>
  <c r="O335" i="1" s="1"/>
  <c r="C581" i="1"/>
  <c r="N75" i="1"/>
  <c r="O75" i="1" s="1"/>
  <c r="N107" i="1"/>
  <c r="O107" i="1" s="1"/>
  <c r="L272" i="1"/>
  <c r="M272" i="1" s="1"/>
  <c r="L472" i="1"/>
  <c r="M472" i="1" s="1"/>
  <c r="N533" i="1"/>
  <c r="O533" i="1" s="1"/>
  <c r="L324" i="1"/>
  <c r="M324" i="1" s="1"/>
  <c r="N388" i="1"/>
  <c r="O388" i="1" s="1"/>
  <c r="N440" i="1"/>
  <c r="O440" i="1" s="1"/>
  <c r="N377" i="1"/>
  <c r="O377" i="1" s="1"/>
  <c r="N372" i="1"/>
  <c r="O372" i="1" s="1"/>
  <c r="N528" i="1"/>
  <c r="O528" i="1" s="1"/>
  <c r="L368" i="1"/>
  <c r="M368" i="1" s="1"/>
  <c r="L524" i="1"/>
  <c r="M524" i="1" s="1"/>
  <c r="N481" i="1"/>
  <c r="O481" i="1" s="1"/>
  <c r="N368" i="1"/>
  <c r="O368" i="1" s="1"/>
  <c r="N424" i="1"/>
  <c r="O424" i="1" s="1"/>
  <c r="N524" i="1"/>
  <c r="O524" i="1" s="1"/>
  <c r="L544" i="1"/>
  <c r="M544" i="1" s="1"/>
  <c r="L533" i="1"/>
  <c r="M533" i="1" s="1"/>
  <c r="N472" i="1"/>
  <c r="O472" i="1" s="1"/>
  <c r="L492" i="1"/>
  <c r="M492" i="1" s="1"/>
  <c r="L476" i="1"/>
  <c r="M476" i="1" s="1"/>
  <c r="N420" i="1"/>
  <c r="O420" i="1" s="1"/>
  <c r="L440" i="1"/>
  <c r="M440" i="1" s="1"/>
  <c r="L424" i="1"/>
  <c r="M424" i="1" s="1"/>
  <c r="L388" i="1"/>
  <c r="M388" i="1" s="1"/>
  <c r="L377" i="1"/>
  <c r="M377" i="1" s="1"/>
  <c r="F360" i="1"/>
  <c r="L315" i="1"/>
  <c r="M315" i="1" s="1"/>
  <c r="N315" i="1"/>
  <c r="O315" i="1" s="1"/>
  <c r="L263" i="1"/>
  <c r="M263" i="1" s="1"/>
  <c r="N263" i="1"/>
  <c r="O263" i="1" s="1"/>
  <c r="N220" i="1"/>
  <c r="O220" i="1" s="1"/>
  <c r="L211" i="1"/>
  <c r="M211" i="1" s="1"/>
  <c r="N211" i="1"/>
  <c r="O211" i="1" s="1"/>
  <c r="N168" i="1"/>
  <c r="O168" i="1" s="1"/>
  <c r="L159" i="1"/>
  <c r="M159" i="1" s="1"/>
  <c r="N159" i="1"/>
  <c r="O159" i="1" s="1"/>
  <c r="L111" i="1"/>
  <c r="M111" i="1" s="1"/>
  <c r="L107" i="1"/>
  <c r="M107" i="1" s="1"/>
  <c r="L55" i="1"/>
  <c r="M55" i="1" s="1"/>
  <c r="N55" i="1"/>
  <c r="O55" i="1" s="1"/>
  <c r="E581" i="1"/>
  <c r="E599" i="1" s="1"/>
  <c r="F581" i="1"/>
  <c r="H581" i="1"/>
  <c r="I587" i="1" s="1"/>
  <c r="D397" i="1" l="1"/>
  <c r="D381" i="1"/>
  <c r="D408" i="1"/>
  <c r="H464" i="1"/>
  <c r="H465" i="1" s="1"/>
  <c r="H151" i="1"/>
  <c r="H152" i="1" s="1"/>
  <c r="D393" i="1"/>
  <c r="D411" i="1"/>
  <c r="C464" i="1"/>
  <c r="C465" i="1" s="1"/>
  <c r="H412" i="1"/>
  <c r="H413" i="1" s="1"/>
  <c r="D621" i="1"/>
  <c r="G476" i="1"/>
  <c r="D388" i="1"/>
  <c r="D387" i="1"/>
  <c r="D390" i="1"/>
  <c r="D380" i="1"/>
  <c r="D396" i="1"/>
  <c r="D168" i="1"/>
  <c r="G605" i="1"/>
  <c r="D402" i="1"/>
  <c r="G7" i="1"/>
  <c r="D373" i="1"/>
  <c r="G12" i="1"/>
  <c r="C412" i="1"/>
  <c r="C413" i="1" s="1"/>
  <c r="D391" i="1"/>
  <c r="D403" i="1"/>
  <c r="D407" i="1"/>
  <c r="D374" i="1"/>
  <c r="D376" i="1"/>
  <c r="D382" i="1"/>
  <c r="D392" i="1"/>
  <c r="D377" i="1"/>
  <c r="D398" i="1"/>
  <c r="D409" i="1"/>
  <c r="K372" i="1"/>
  <c r="D399" i="1"/>
  <c r="D378" i="1"/>
  <c r="F464" i="1"/>
  <c r="F465" i="1" s="1"/>
  <c r="D400" i="1"/>
  <c r="D379" i="1"/>
  <c r="I440" i="1"/>
  <c r="G111" i="1"/>
  <c r="G621" i="1"/>
  <c r="K587" i="1"/>
  <c r="I424" i="1"/>
  <c r="D394" i="1"/>
  <c r="I372" i="1"/>
  <c r="D404" i="1"/>
  <c r="D386" i="1"/>
  <c r="D395" i="1"/>
  <c r="K272" i="1"/>
  <c r="K336" i="1"/>
  <c r="D383" i="1"/>
  <c r="D389" i="1"/>
  <c r="G116" i="1"/>
  <c r="F47" i="1"/>
  <c r="F48" i="1" s="1"/>
  <c r="D384" i="1"/>
  <c r="D405" i="1"/>
  <c r="D492" i="1"/>
  <c r="D385" i="1"/>
  <c r="D375" i="1"/>
  <c r="D283" i="1"/>
  <c r="H308" i="1"/>
  <c r="H309" i="1"/>
  <c r="H310" i="1" s="1"/>
  <c r="I272" i="1"/>
  <c r="I220" i="1"/>
  <c r="I492" i="1"/>
  <c r="I605" i="1"/>
  <c r="I12" i="1"/>
  <c r="K59" i="1"/>
  <c r="I476" i="1"/>
  <c r="G424" i="1"/>
  <c r="I267" i="1"/>
  <c r="L266" i="1"/>
  <c r="M266" i="1" s="1"/>
  <c r="K75" i="1"/>
  <c r="K621" i="1"/>
  <c r="I528" i="1"/>
  <c r="I283" i="1"/>
  <c r="N527" i="1"/>
  <c r="O527" i="1" s="1"/>
  <c r="H568" i="1"/>
  <c r="H570" i="1" s="1"/>
  <c r="H571" i="1" s="1"/>
  <c r="I621" i="1"/>
  <c r="F568" i="1"/>
  <c r="F569" i="1" s="1"/>
  <c r="G533" i="1"/>
  <c r="D610" i="1"/>
  <c r="D406" i="1"/>
  <c r="D410" i="1"/>
  <c r="D372" i="1"/>
  <c r="J255" i="1"/>
  <c r="K248" i="1"/>
  <c r="K232" i="1"/>
  <c r="K216" i="1"/>
  <c r="K247" i="1"/>
  <c r="K246" i="1"/>
  <c r="K230" i="1"/>
  <c r="K245" i="1"/>
  <c r="K229" i="1"/>
  <c r="K244" i="1"/>
  <c r="K228" i="1"/>
  <c r="K242" i="1"/>
  <c r="K226" i="1"/>
  <c r="K239" i="1"/>
  <c r="K223" i="1"/>
  <c r="K227" i="1"/>
  <c r="K254" i="1"/>
  <c r="K225" i="1"/>
  <c r="K253" i="1"/>
  <c r="K224" i="1"/>
  <c r="K252" i="1"/>
  <c r="K222" i="1"/>
  <c r="K251" i="1"/>
  <c r="K221" i="1"/>
  <c r="K250" i="1"/>
  <c r="K249" i="1"/>
  <c r="K219" i="1"/>
  <c r="K243" i="1"/>
  <c r="K218" i="1"/>
  <c r="K241" i="1"/>
  <c r="K217" i="1"/>
  <c r="K240" i="1"/>
  <c r="K238" i="1"/>
  <c r="K237" i="1"/>
  <c r="K236" i="1"/>
  <c r="K234" i="1"/>
  <c r="K235" i="1"/>
  <c r="K233" i="1"/>
  <c r="N319" i="1"/>
  <c r="O319" i="1" s="1"/>
  <c r="I347" i="1"/>
  <c r="I331" i="1"/>
  <c r="I346" i="1"/>
  <c r="I330" i="1"/>
  <c r="I345" i="1"/>
  <c r="I329" i="1"/>
  <c r="I344" i="1"/>
  <c r="I328" i="1"/>
  <c r="I359" i="1"/>
  <c r="I343" i="1"/>
  <c r="I327" i="1"/>
  <c r="I357" i="1"/>
  <c r="I341" i="1"/>
  <c r="I354" i="1"/>
  <c r="I338" i="1"/>
  <c r="I322" i="1"/>
  <c r="I349" i="1"/>
  <c r="I333" i="1"/>
  <c r="I348" i="1"/>
  <c r="I356" i="1"/>
  <c r="I323" i="1"/>
  <c r="I355" i="1"/>
  <c r="I321" i="1"/>
  <c r="I353" i="1"/>
  <c r="I352" i="1"/>
  <c r="I351" i="1"/>
  <c r="I350" i="1"/>
  <c r="I342" i="1"/>
  <c r="I340" i="1"/>
  <c r="I332" i="1"/>
  <c r="I339" i="1"/>
  <c r="I337" i="1"/>
  <c r="I335" i="1"/>
  <c r="I334" i="1"/>
  <c r="I326" i="1"/>
  <c r="I358" i="1"/>
  <c r="I324" i="1"/>
  <c r="D559" i="1"/>
  <c r="D543" i="1"/>
  <c r="D558" i="1"/>
  <c r="D542" i="1"/>
  <c r="D557" i="1"/>
  <c r="D541" i="1"/>
  <c r="D556" i="1"/>
  <c r="D540" i="1"/>
  <c r="D555" i="1"/>
  <c r="D539" i="1"/>
  <c r="D553" i="1"/>
  <c r="D537" i="1"/>
  <c r="D566" i="1"/>
  <c r="D550" i="1"/>
  <c r="D534" i="1"/>
  <c r="D564" i="1"/>
  <c r="D548" i="1"/>
  <c r="D532" i="1"/>
  <c r="D563" i="1"/>
  <c r="D547" i="1"/>
  <c r="D531" i="1"/>
  <c r="D562" i="1"/>
  <c r="D546" i="1"/>
  <c r="D530" i="1"/>
  <c r="D561" i="1"/>
  <c r="D545" i="1"/>
  <c r="D529" i="1"/>
  <c r="D560" i="1"/>
  <c r="D567" i="1"/>
  <c r="D565" i="1"/>
  <c r="D554" i="1"/>
  <c r="D552" i="1"/>
  <c r="D551" i="1"/>
  <c r="D549" i="1"/>
  <c r="D536" i="1"/>
  <c r="D535" i="1"/>
  <c r="D538" i="1"/>
  <c r="K40" i="1"/>
  <c r="K24" i="1"/>
  <c r="K8" i="1"/>
  <c r="K39" i="1"/>
  <c r="K38" i="1"/>
  <c r="K22" i="1"/>
  <c r="K37" i="1"/>
  <c r="K21" i="1"/>
  <c r="K36" i="1"/>
  <c r="K20" i="1"/>
  <c r="K35" i="1"/>
  <c r="K19" i="1"/>
  <c r="K34" i="1"/>
  <c r="K18" i="1"/>
  <c r="K33" i="1"/>
  <c r="K17" i="1"/>
  <c r="K32" i="1"/>
  <c r="K16" i="1"/>
  <c r="K31" i="1"/>
  <c r="K15" i="1"/>
  <c r="K46" i="1"/>
  <c r="K30" i="1"/>
  <c r="K14" i="1"/>
  <c r="K45" i="1"/>
  <c r="K29" i="1"/>
  <c r="K13" i="1"/>
  <c r="K44" i="1"/>
  <c r="K28" i="1"/>
  <c r="K42" i="1"/>
  <c r="K26" i="1"/>
  <c r="K10" i="1"/>
  <c r="K43" i="1"/>
  <c r="K41" i="1"/>
  <c r="K27" i="1"/>
  <c r="K25" i="1"/>
  <c r="K11" i="1"/>
  <c r="K9" i="1"/>
  <c r="G528" i="1"/>
  <c r="C599" i="1"/>
  <c r="C645" i="1" s="1"/>
  <c r="D589" i="1"/>
  <c r="D588" i="1"/>
  <c r="D586" i="1"/>
  <c r="D585" i="1"/>
  <c r="D583" i="1"/>
  <c r="D596" i="1"/>
  <c r="D594" i="1"/>
  <c r="D593" i="1"/>
  <c r="D592" i="1"/>
  <c r="D591" i="1"/>
  <c r="D590" i="1"/>
  <c r="D598" i="1"/>
  <c r="D597" i="1"/>
  <c r="D595" i="1"/>
  <c r="D584" i="1"/>
  <c r="C255" i="1"/>
  <c r="C257" i="1" s="1"/>
  <c r="C258" i="1" s="1"/>
  <c r="D246" i="1"/>
  <c r="D230" i="1"/>
  <c r="D245" i="1"/>
  <c r="D229" i="1"/>
  <c r="D244" i="1"/>
  <c r="D228" i="1"/>
  <c r="D243" i="1"/>
  <c r="D227" i="1"/>
  <c r="D242" i="1"/>
  <c r="D226" i="1"/>
  <c r="D241" i="1"/>
  <c r="D225" i="1"/>
  <c r="D240" i="1"/>
  <c r="D224" i="1"/>
  <c r="D239" i="1"/>
  <c r="D223" i="1"/>
  <c r="D254" i="1"/>
  <c r="D238" i="1"/>
  <c r="D222" i="1"/>
  <c r="D253" i="1"/>
  <c r="D237" i="1"/>
  <c r="D221" i="1"/>
  <c r="D252" i="1"/>
  <c r="D236" i="1"/>
  <c r="D251" i="1"/>
  <c r="D235" i="1"/>
  <c r="D219" i="1"/>
  <c r="D250" i="1"/>
  <c r="D234" i="1"/>
  <c r="D218" i="1"/>
  <c r="D248" i="1"/>
  <c r="D232" i="1"/>
  <c r="D216" i="1"/>
  <c r="D249" i="1"/>
  <c r="D247" i="1"/>
  <c r="D233" i="1"/>
  <c r="D231" i="1"/>
  <c r="D217" i="1"/>
  <c r="D215" i="1"/>
  <c r="G296" i="1"/>
  <c r="G280" i="1"/>
  <c r="G295" i="1"/>
  <c r="G279" i="1"/>
  <c r="G294" i="1"/>
  <c r="G278" i="1"/>
  <c r="G293" i="1"/>
  <c r="G277" i="1"/>
  <c r="G292" i="1"/>
  <c r="G276" i="1"/>
  <c r="G306" i="1"/>
  <c r="G290" i="1"/>
  <c r="G274" i="1"/>
  <c r="G303" i="1"/>
  <c r="G287" i="1"/>
  <c r="G271" i="1"/>
  <c r="G298" i="1"/>
  <c r="G282" i="1"/>
  <c r="G288" i="1"/>
  <c r="G286" i="1"/>
  <c r="G285" i="1"/>
  <c r="G284" i="1"/>
  <c r="G281" i="1"/>
  <c r="G275" i="1"/>
  <c r="G305" i="1"/>
  <c r="G273" i="1"/>
  <c r="G304" i="1"/>
  <c r="G302" i="1"/>
  <c r="G270" i="1"/>
  <c r="G301" i="1"/>
  <c r="G269" i="1"/>
  <c r="G300" i="1"/>
  <c r="G268" i="1"/>
  <c r="G299" i="1"/>
  <c r="G291" i="1"/>
  <c r="G297" i="1"/>
  <c r="G289" i="1"/>
  <c r="I320" i="1"/>
  <c r="D146" i="1"/>
  <c r="D130" i="1"/>
  <c r="D114" i="1"/>
  <c r="D145" i="1"/>
  <c r="D129" i="1"/>
  <c r="D113" i="1"/>
  <c r="D144" i="1"/>
  <c r="D128" i="1"/>
  <c r="D112" i="1"/>
  <c r="D143" i="1"/>
  <c r="D127" i="1"/>
  <c r="D111" i="1"/>
  <c r="D142" i="1"/>
  <c r="D126" i="1"/>
  <c r="D141" i="1"/>
  <c r="D125" i="1"/>
  <c r="D140" i="1"/>
  <c r="D124" i="1"/>
  <c r="D139" i="1"/>
  <c r="D123" i="1"/>
  <c r="D138" i="1"/>
  <c r="D122" i="1"/>
  <c r="D137" i="1"/>
  <c r="D121" i="1"/>
  <c r="D136" i="1"/>
  <c r="D120" i="1"/>
  <c r="D135" i="1"/>
  <c r="D119" i="1"/>
  <c r="D150" i="1"/>
  <c r="D134" i="1"/>
  <c r="D118" i="1"/>
  <c r="D148" i="1"/>
  <c r="D132" i="1"/>
  <c r="D149" i="1"/>
  <c r="D147" i="1"/>
  <c r="D133" i="1"/>
  <c r="D131" i="1"/>
  <c r="D117" i="1"/>
  <c r="D115" i="1"/>
  <c r="K116" i="1"/>
  <c r="K179" i="1"/>
  <c r="G283" i="1"/>
  <c r="F203" i="1"/>
  <c r="G190" i="1"/>
  <c r="G174" i="1"/>
  <c r="G189" i="1"/>
  <c r="G173" i="1"/>
  <c r="G188" i="1"/>
  <c r="G172" i="1"/>
  <c r="G187" i="1"/>
  <c r="G171" i="1"/>
  <c r="G202" i="1"/>
  <c r="G186" i="1"/>
  <c r="G170" i="1"/>
  <c r="G201" i="1"/>
  <c r="G185" i="1"/>
  <c r="G169" i="1"/>
  <c r="G200" i="1"/>
  <c r="G184" i="1"/>
  <c r="G199" i="1"/>
  <c r="G183" i="1"/>
  <c r="G167" i="1"/>
  <c r="G198" i="1"/>
  <c r="G182" i="1"/>
  <c r="G166" i="1"/>
  <c r="G197" i="1"/>
  <c r="G181" i="1"/>
  <c r="G165" i="1"/>
  <c r="G196" i="1"/>
  <c r="G180" i="1"/>
  <c r="G164" i="1"/>
  <c r="G195" i="1"/>
  <c r="G194" i="1"/>
  <c r="G178" i="1"/>
  <c r="G192" i="1"/>
  <c r="G176" i="1"/>
  <c r="G193" i="1"/>
  <c r="G191" i="1"/>
  <c r="G177" i="1"/>
  <c r="G175" i="1"/>
  <c r="H99" i="1"/>
  <c r="H100" i="1" s="1"/>
  <c r="I88" i="1"/>
  <c r="I72" i="1"/>
  <c r="I87" i="1"/>
  <c r="I71" i="1"/>
  <c r="I86" i="1"/>
  <c r="I70" i="1"/>
  <c r="I85" i="1"/>
  <c r="I69" i="1"/>
  <c r="I84" i="1"/>
  <c r="I68" i="1"/>
  <c r="I83" i="1"/>
  <c r="I67" i="1"/>
  <c r="I98" i="1"/>
  <c r="I82" i="1"/>
  <c r="I66" i="1"/>
  <c r="I97" i="1"/>
  <c r="I81" i="1"/>
  <c r="I65" i="1"/>
  <c r="I96" i="1"/>
  <c r="I80" i="1"/>
  <c r="I95" i="1"/>
  <c r="I79" i="1"/>
  <c r="I63" i="1"/>
  <c r="I94" i="1"/>
  <c r="I78" i="1"/>
  <c r="I62" i="1"/>
  <c r="I93" i="1"/>
  <c r="I77" i="1"/>
  <c r="I61" i="1"/>
  <c r="I92" i="1"/>
  <c r="I76" i="1"/>
  <c r="I60" i="1"/>
  <c r="I90" i="1"/>
  <c r="I74" i="1"/>
  <c r="I91" i="1"/>
  <c r="I89" i="1"/>
  <c r="I75" i="1"/>
  <c r="I73" i="1"/>
  <c r="J464" i="1"/>
  <c r="J465" i="1" s="1"/>
  <c r="K457" i="1"/>
  <c r="K441" i="1"/>
  <c r="K425" i="1"/>
  <c r="K456" i="1"/>
  <c r="K455" i="1"/>
  <c r="K439" i="1"/>
  <c r="K454" i="1"/>
  <c r="K438" i="1"/>
  <c r="K453" i="1"/>
  <c r="K437" i="1"/>
  <c r="K451" i="1"/>
  <c r="K435" i="1"/>
  <c r="K448" i="1"/>
  <c r="K432" i="1"/>
  <c r="K461" i="1"/>
  <c r="K445" i="1"/>
  <c r="K460" i="1"/>
  <c r="K444" i="1"/>
  <c r="K428" i="1"/>
  <c r="K459" i="1"/>
  <c r="K443" i="1"/>
  <c r="K427" i="1"/>
  <c r="K458" i="1"/>
  <c r="K442" i="1"/>
  <c r="K426" i="1"/>
  <c r="K450" i="1"/>
  <c r="K449" i="1"/>
  <c r="K447" i="1"/>
  <c r="K446" i="1"/>
  <c r="K436" i="1"/>
  <c r="K434" i="1"/>
  <c r="K433" i="1"/>
  <c r="K431" i="1"/>
  <c r="K430" i="1"/>
  <c r="K462" i="1"/>
  <c r="K463" i="1"/>
  <c r="K452" i="1"/>
  <c r="K492" i="1"/>
  <c r="K163" i="1"/>
  <c r="D116" i="1"/>
  <c r="K220" i="1"/>
  <c r="G168" i="1"/>
  <c r="G220" i="1"/>
  <c r="D544" i="1"/>
  <c r="G357" i="1"/>
  <c r="G341" i="1"/>
  <c r="G356" i="1"/>
  <c r="G340" i="1"/>
  <c r="G324" i="1"/>
  <c r="G355" i="1"/>
  <c r="G339" i="1"/>
  <c r="G323" i="1"/>
  <c r="G354" i="1"/>
  <c r="G338" i="1"/>
  <c r="G322" i="1"/>
  <c r="G353" i="1"/>
  <c r="G337" i="1"/>
  <c r="G321" i="1"/>
  <c r="G351" i="1"/>
  <c r="G335" i="1"/>
  <c r="G348" i="1"/>
  <c r="G332" i="1"/>
  <c r="G359" i="1"/>
  <c r="G343" i="1"/>
  <c r="G327" i="1"/>
  <c r="G333" i="1"/>
  <c r="G331" i="1"/>
  <c r="G330" i="1"/>
  <c r="G329" i="1"/>
  <c r="G328" i="1"/>
  <c r="G358" i="1"/>
  <c r="G326" i="1"/>
  <c r="G352" i="1"/>
  <c r="G350" i="1"/>
  <c r="G342" i="1"/>
  <c r="G349" i="1"/>
  <c r="G347" i="1"/>
  <c r="G346" i="1"/>
  <c r="G345" i="1"/>
  <c r="G344" i="1"/>
  <c r="G334" i="1"/>
  <c r="D587" i="1"/>
  <c r="L527" i="1"/>
  <c r="M527" i="1" s="1"/>
  <c r="I511" i="1"/>
  <c r="I495" i="1"/>
  <c r="I479" i="1"/>
  <c r="I510" i="1"/>
  <c r="I494" i="1"/>
  <c r="I478" i="1"/>
  <c r="I509" i="1"/>
  <c r="I493" i="1"/>
  <c r="I477" i="1"/>
  <c r="I508" i="1"/>
  <c r="I507" i="1"/>
  <c r="I491" i="1"/>
  <c r="I505" i="1"/>
  <c r="I489" i="1"/>
  <c r="I502" i="1"/>
  <c r="I486" i="1"/>
  <c r="I500" i="1"/>
  <c r="I484" i="1"/>
  <c r="I515" i="1"/>
  <c r="I499" i="1"/>
  <c r="I483" i="1"/>
  <c r="I514" i="1"/>
  <c r="I498" i="1"/>
  <c r="I482" i="1"/>
  <c r="I513" i="1"/>
  <c r="I497" i="1"/>
  <c r="I512" i="1"/>
  <c r="I496" i="1"/>
  <c r="I480" i="1"/>
  <c r="I501" i="1"/>
  <c r="I490" i="1"/>
  <c r="I488" i="1"/>
  <c r="I487" i="1"/>
  <c r="I485" i="1"/>
  <c r="I504" i="1"/>
  <c r="I503" i="1"/>
  <c r="I506" i="1"/>
  <c r="F658" i="1"/>
  <c r="G98" i="1"/>
  <c r="G82" i="1"/>
  <c r="G66" i="1"/>
  <c r="G97" i="1"/>
  <c r="G81" i="1"/>
  <c r="G65" i="1"/>
  <c r="G96" i="1"/>
  <c r="G80" i="1"/>
  <c r="G95" i="1"/>
  <c r="G79" i="1"/>
  <c r="G63" i="1"/>
  <c r="G94" i="1"/>
  <c r="G78" i="1"/>
  <c r="G62" i="1"/>
  <c r="G93" i="1"/>
  <c r="G77" i="1"/>
  <c r="G61" i="1"/>
  <c r="G92" i="1"/>
  <c r="G76" i="1"/>
  <c r="G60" i="1"/>
  <c r="G91" i="1"/>
  <c r="G90" i="1"/>
  <c r="G74" i="1"/>
  <c r="G89" i="1"/>
  <c r="G73" i="1"/>
  <c r="G88" i="1"/>
  <c r="G72" i="1"/>
  <c r="G87" i="1"/>
  <c r="G71" i="1"/>
  <c r="G86" i="1"/>
  <c r="G70" i="1"/>
  <c r="G84" i="1"/>
  <c r="G68" i="1"/>
  <c r="G85" i="1"/>
  <c r="G83" i="1"/>
  <c r="G69" i="1"/>
  <c r="G67" i="1"/>
  <c r="D455" i="1"/>
  <c r="D439" i="1"/>
  <c r="D454" i="1"/>
  <c r="D438" i="1"/>
  <c r="D453" i="1"/>
  <c r="D437" i="1"/>
  <c r="D452" i="1"/>
  <c r="D436" i="1"/>
  <c r="D451" i="1"/>
  <c r="D435" i="1"/>
  <c r="D449" i="1"/>
  <c r="D433" i="1"/>
  <c r="D462" i="1"/>
  <c r="D446" i="1"/>
  <c r="D430" i="1"/>
  <c r="D459" i="1"/>
  <c r="D443" i="1"/>
  <c r="D427" i="1"/>
  <c r="D457" i="1"/>
  <c r="D441" i="1"/>
  <c r="D425" i="1"/>
  <c r="D456" i="1"/>
  <c r="D432" i="1"/>
  <c r="D431" i="1"/>
  <c r="D428" i="1"/>
  <c r="D426" i="1"/>
  <c r="D463" i="1"/>
  <c r="D461" i="1"/>
  <c r="D460" i="1"/>
  <c r="D444" i="1"/>
  <c r="D458" i="1"/>
  <c r="D450" i="1"/>
  <c r="D448" i="1"/>
  <c r="D447" i="1"/>
  <c r="D445" i="1"/>
  <c r="D442" i="1"/>
  <c r="D434" i="1"/>
  <c r="D351" i="1"/>
  <c r="D335" i="1"/>
  <c r="D350" i="1"/>
  <c r="D334" i="1"/>
  <c r="D349" i="1"/>
  <c r="D333" i="1"/>
  <c r="D348" i="1"/>
  <c r="D332" i="1"/>
  <c r="D347" i="1"/>
  <c r="D331" i="1"/>
  <c r="D345" i="1"/>
  <c r="D329" i="1"/>
  <c r="D358" i="1"/>
  <c r="D342" i="1"/>
  <c r="D326" i="1"/>
  <c r="D353" i="1"/>
  <c r="D337" i="1"/>
  <c r="D321" i="1"/>
  <c r="D343" i="1"/>
  <c r="D341" i="1"/>
  <c r="D340" i="1"/>
  <c r="D339" i="1"/>
  <c r="D338" i="1"/>
  <c r="D330" i="1"/>
  <c r="D328" i="1"/>
  <c r="D359" i="1"/>
  <c r="D327" i="1"/>
  <c r="D357" i="1"/>
  <c r="D356" i="1"/>
  <c r="D324" i="1"/>
  <c r="D355" i="1"/>
  <c r="D323" i="1"/>
  <c r="D354" i="1"/>
  <c r="D322" i="1"/>
  <c r="D346" i="1"/>
  <c r="D352" i="1"/>
  <c r="D344" i="1"/>
  <c r="D320" i="1"/>
  <c r="K440" i="1"/>
  <c r="G75" i="1"/>
  <c r="I179" i="1"/>
  <c r="D429" i="1"/>
  <c r="G320" i="1"/>
  <c r="G64" i="1"/>
  <c r="J412" i="1"/>
  <c r="J413" i="1" s="1"/>
  <c r="K397" i="1"/>
  <c r="K381" i="1"/>
  <c r="K396" i="1"/>
  <c r="K380" i="1"/>
  <c r="K411" i="1"/>
  <c r="K395" i="1"/>
  <c r="K379" i="1"/>
  <c r="K410" i="1"/>
  <c r="K394" i="1"/>
  <c r="K378" i="1"/>
  <c r="K409" i="1"/>
  <c r="K393" i="1"/>
  <c r="K407" i="1"/>
  <c r="K391" i="1"/>
  <c r="K375" i="1"/>
  <c r="K404" i="1"/>
  <c r="K401" i="1"/>
  <c r="K399" i="1"/>
  <c r="K383" i="1"/>
  <c r="K398" i="1"/>
  <c r="K382" i="1"/>
  <c r="K385" i="1"/>
  <c r="K384" i="1"/>
  <c r="K376" i="1"/>
  <c r="K374" i="1"/>
  <c r="K373" i="1"/>
  <c r="K408" i="1"/>
  <c r="K406" i="1"/>
  <c r="K405" i="1"/>
  <c r="K389" i="1"/>
  <c r="K403" i="1"/>
  <c r="K402" i="1"/>
  <c r="K400" i="1"/>
  <c r="K392" i="1"/>
  <c r="K390" i="1"/>
  <c r="K387" i="1"/>
  <c r="K386" i="1"/>
  <c r="I638" i="1"/>
  <c r="I622" i="1"/>
  <c r="I606" i="1"/>
  <c r="I637" i="1"/>
  <c r="I636" i="1"/>
  <c r="I620" i="1"/>
  <c r="I635" i="1"/>
  <c r="I619" i="1"/>
  <c r="I634" i="1"/>
  <c r="I618" i="1"/>
  <c r="I632" i="1"/>
  <c r="I616" i="1"/>
  <c r="I629" i="1"/>
  <c r="I613" i="1"/>
  <c r="I644" i="1"/>
  <c r="I643" i="1"/>
  <c r="I627" i="1"/>
  <c r="I611" i="1"/>
  <c r="I642" i="1"/>
  <c r="I626" i="1"/>
  <c r="I641" i="1"/>
  <c r="I625" i="1"/>
  <c r="I609" i="1"/>
  <c r="I640" i="1"/>
  <c r="I624" i="1"/>
  <c r="I608" i="1"/>
  <c r="I639" i="1"/>
  <c r="I623" i="1"/>
  <c r="I607" i="1"/>
  <c r="I612" i="1"/>
  <c r="I633" i="1"/>
  <c r="I631" i="1"/>
  <c r="I630" i="1"/>
  <c r="I628" i="1"/>
  <c r="I617" i="1"/>
  <c r="I615" i="1"/>
  <c r="I614" i="1"/>
  <c r="I302" i="1"/>
  <c r="I286" i="1"/>
  <c r="I270" i="1"/>
  <c r="I301" i="1"/>
  <c r="I285" i="1"/>
  <c r="I269" i="1"/>
  <c r="I300" i="1"/>
  <c r="I284" i="1"/>
  <c r="I268" i="1"/>
  <c r="I299" i="1"/>
  <c r="I298" i="1"/>
  <c r="I282" i="1"/>
  <c r="I296" i="1"/>
  <c r="I280" i="1"/>
  <c r="I293" i="1"/>
  <c r="I277" i="1"/>
  <c r="I304" i="1"/>
  <c r="I288" i="1"/>
  <c r="I278" i="1"/>
  <c r="I276" i="1"/>
  <c r="I275" i="1"/>
  <c r="I306" i="1"/>
  <c r="I274" i="1"/>
  <c r="I305" i="1"/>
  <c r="I273" i="1"/>
  <c r="I303" i="1"/>
  <c r="I271" i="1"/>
  <c r="I297" i="1"/>
  <c r="I295" i="1"/>
  <c r="I294" i="1"/>
  <c r="I292" i="1"/>
  <c r="I291" i="1"/>
  <c r="I290" i="1"/>
  <c r="I289" i="1"/>
  <c r="I281" i="1"/>
  <c r="I287" i="1"/>
  <c r="I279" i="1"/>
  <c r="K481" i="1"/>
  <c r="K377" i="1"/>
  <c r="K12" i="1"/>
  <c r="I325" i="1"/>
  <c r="H517" i="1"/>
  <c r="F307" i="1"/>
  <c r="F309" i="1" s="1"/>
  <c r="F310" i="1" s="1"/>
  <c r="K231" i="1"/>
  <c r="K429" i="1"/>
  <c r="D582" i="1"/>
  <c r="G267" i="1"/>
  <c r="I586" i="1"/>
  <c r="I585" i="1"/>
  <c r="I584" i="1"/>
  <c r="I583" i="1"/>
  <c r="I597" i="1"/>
  <c r="I594" i="1"/>
  <c r="I592" i="1"/>
  <c r="I591" i="1"/>
  <c r="I590" i="1"/>
  <c r="I589" i="1"/>
  <c r="I588" i="1"/>
  <c r="I582" i="1"/>
  <c r="I598" i="1"/>
  <c r="I596" i="1"/>
  <c r="I595" i="1"/>
  <c r="I593" i="1"/>
  <c r="I555" i="1"/>
  <c r="I539" i="1"/>
  <c r="I554" i="1"/>
  <c r="I538" i="1"/>
  <c r="I553" i="1"/>
  <c r="I537" i="1"/>
  <c r="I552" i="1"/>
  <c r="I536" i="1"/>
  <c r="I567" i="1"/>
  <c r="I551" i="1"/>
  <c r="I535" i="1"/>
  <c r="I565" i="1"/>
  <c r="I549" i="1"/>
  <c r="I562" i="1"/>
  <c r="I546" i="1"/>
  <c r="I530" i="1"/>
  <c r="I560" i="1"/>
  <c r="I559" i="1"/>
  <c r="I543" i="1"/>
  <c r="I558" i="1"/>
  <c r="I542" i="1"/>
  <c r="I557" i="1"/>
  <c r="I541" i="1"/>
  <c r="I556" i="1"/>
  <c r="I540" i="1"/>
  <c r="I566" i="1"/>
  <c r="I564" i="1"/>
  <c r="I563" i="1"/>
  <c r="I561" i="1"/>
  <c r="I550" i="1"/>
  <c r="I548" i="1"/>
  <c r="I547" i="1"/>
  <c r="I545" i="1"/>
  <c r="I534" i="1"/>
  <c r="I532" i="1"/>
  <c r="I531" i="1"/>
  <c r="I529" i="1"/>
  <c r="H153" i="1"/>
  <c r="H154" i="1" s="1"/>
  <c r="C151" i="1"/>
  <c r="N151" i="1" s="1"/>
  <c r="O151" i="1" s="1"/>
  <c r="F412" i="1"/>
  <c r="F413" i="1" s="1"/>
  <c r="G401" i="1"/>
  <c r="G385" i="1"/>
  <c r="G400" i="1"/>
  <c r="G384" i="1"/>
  <c r="G399" i="1"/>
  <c r="G383" i="1"/>
  <c r="G398" i="1"/>
  <c r="G382" i="1"/>
  <c r="G397" i="1"/>
  <c r="G381" i="1"/>
  <c r="G411" i="1"/>
  <c r="G395" i="1"/>
  <c r="G379" i="1"/>
  <c r="G408" i="1"/>
  <c r="G392" i="1"/>
  <c r="G376" i="1"/>
  <c r="G403" i="1"/>
  <c r="G387" i="1"/>
  <c r="G402" i="1"/>
  <c r="G386" i="1"/>
  <c r="G393" i="1"/>
  <c r="G391" i="1"/>
  <c r="G390" i="1"/>
  <c r="G389" i="1"/>
  <c r="G404" i="1"/>
  <c r="G380" i="1"/>
  <c r="G378" i="1"/>
  <c r="G410" i="1"/>
  <c r="G375" i="1"/>
  <c r="G409" i="1"/>
  <c r="G374" i="1"/>
  <c r="G407" i="1"/>
  <c r="G373" i="1"/>
  <c r="G406" i="1"/>
  <c r="G405" i="1"/>
  <c r="G396" i="1"/>
  <c r="G394" i="1"/>
  <c r="D220" i="1"/>
  <c r="J599" i="1"/>
  <c r="J645" i="1" s="1"/>
  <c r="K586" i="1"/>
  <c r="K585" i="1"/>
  <c r="K584" i="1"/>
  <c r="K583" i="1"/>
  <c r="K598" i="1"/>
  <c r="K596" i="1"/>
  <c r="K593" i="1"/>
  <c r="K591" i="1"/>
  <c r="K590" i="1"/>
  <c r="K589" i="1"/>
  <c r="K588" i="1"/>
  <c r="K597" i="1"/>
  <c r="K595" i="1"/>
  <c r="K594" i="1"/>
  <c r="K592" i="1"/>
  <c r="J99" i="1"/>
  <c r="K94" i="1"/>
  <c r="K78" i="1"/>
  <c r="K62" i="1"/>
  <c r="K93" i="1"/>
  <c r="K77" i="1"/>
  <c r="K61" i="1"/>
  <c r="K92" i="1"/>
  <c r="K76" i="1"/>
  <c r="K60" i="1"/>
  <c r="K91" i="1"/>
  <c r="K90" i="1"/>
  <c r="K74" i="1"/>
  <c r="K89" i="1"/>
  <c r="K73" i="1"/>
  <c r="K88" i="1"/>
  <c r="K72" i="1"/>
  <c r="K87" i="1"/>
  <c r="K71" i="1"/>
  <c r="K86" i="1"/>
  <c r="K70" i="1"/>
  <c r="K85" i="1"/>
  <c r="K69" i="1"/>
  <c r="K84" i="1"/>
  <c r="K68" i="1"/>
  <c r="K83" i="1"/>
  <c r="K67" i="1"/>
  <c r="K98" i="1"/>
  <c r="K82" i="1"/>
  <c r="K66" i="1"/>
  <c r="K96" i="1"/>
  <c r="K80" i="1"/>
  <c r="K97" i="1"/>
  <c r="K95" i="1"/>
  <c r="K81" i="1"/>
  <c r="K79" i="1"/>
  <c r="K65" i="1"/>
  <c r="K63" i="1"/>
  <c r="L475" i="1"/>
  <c r="M475" i="1" s="1"/>
  <c r="G505" i="1"/>
  <c r="G489" i="1"/>
  <c r="G504" i="1"/>
  <c r="G488" i="1"/>
  <c r="G503" i="1"/>
  <c r="G487" i="1"/>
  <c r="G502" i="1"/>
  <c r="G486" i="1"/>
  <c r="G501" i="1"/>
  <c r="G485" i="1"/>
  <c r="G515" i="1"/>
  <c r="G499" i="1"/>
  <c r="G483" i="1"/>
  <c r="G512" i="1"/>
  <c r="G496" i="1"/>
  <c r="G480" i="1"/>
  <c r="G510" i="1"/>
  <c r="G494" i="1"/>
  <c r="G478" i="1"/>
  <c r="G509" i="1"/>
  <c r="G493" i="1"/>
  <c r="G477" i="1"/>
  <c r="G508" i="1"/>
  <c r="G507" i="1"/>
  <c r="G491" i="1"/>
  <c r="G506" i="1"/>
  <c r="G490" i="1"/>
  <c r="G479" i="1"/>
  <c r="G514" i="1"/>
  <c r="G513" i="1"/>
  <c r="G511" i="1"/>
  <c r="G500" i="1"/>
  <c r="G498" i="1"/>
  <c r="G497" i="1"/>
  <c r="G495" i="1"/>
  <c r="G482" i="1"/>
  <c r="G481" i="1"/>
  <c r="G484" i="1"/>
  <c r="K292" i="1"/>
  <c r="K276" i="1"/>
  <c r="K291" i="1"/>
  <c r="K275" i="1"/>
  <c r="K306" i="1"/>
  <c r="K290" i="1"/>
  <c r="K274" i="1"/>
  <c r="K305" i="1"/>
  <c r="K289" i="1"/>
  <c r="K273" i="1"/>
  <c r="K304" i="1"/>
  <c r="K288" i="1"/>
  <c r="K302" i="1"/>
  <c r="K286" i="1"/>
  <c r="K270" i="1"/>
  <c r="K299" i="1"/>
  <c r="K294" i="1"/>
  <c r="K278" i="1"/>
  <c r="K300" i="1"/>
  <c r="K268" i="1"/>
  <c r="K298" i="1"/>
  <c r="K297" i="1"/>
  <c r="K296" i="1"/>
  <c r="K295" i="1"/>
  <c r="K293" i="1"/>
  <c r="K287" i="1"/>
  <c r="K285" i="1"/>
  <c r="K284" i="1"/>
  <c r="K282" i="1"/>
  <c r="K281" i="1"/>
  <c r="K280" i="1"/>
  <c r="K279" i="1"/>
  <c r="K303" i="1"/>
  <c r="K271" i="1"/>
  <c r="K301" i="1"/>
  <c r="K277" i="1"/>
  <c r="K269" i="1"/>
  <c r="F151" i="1"/>
  <c r="L151" i="1" s="1"/>
  <c r="M151" i="1" s="1"/>
  <c r="G136" i="1"/>
  <c r="G120" i="1"/>
  <c r="G135" i="1"/>
  <c r="G119" i="1"/>
  <c r="G150" i="1"/>
  <c r="G134" i="1"/>
  <c r="G118" i="1"/>
  <c r="G149" i="1"/>
  <c r="G133" i="1"/>
  <c r="G117" i="1"/>
  <c r="G148" i="1"/>
  <c r="G132" i="1"/>
  <c r="G147" i="1"/>
  <c r="G131" i="1"/>
  <c r="G115" i="1"/>
  <c r="G146" i="1"/>
  <c r="G130" i="1"/>
  <c r="G114" i="1"/>
  <c r="G145" i="1"/>
  <c r="G129" i="1"/>
  <c r="G113" i="1"/>
  <c r="G144" i="1"/>
  <c r="G128" i="1"/>
  <c r="G112" i="1"/>
  <c r="G143" i="1"/>
  <c r="G142" i="1"/>
  <c r="G126" i="1"/>
  <c r="G141" i="1"/>
  <c r="G125" i="1"/>
  <c r="G140" i="1"/>
  <c r="G124" i="1"/>
  <c r="G138" i="1"/>
  <c r="G122" i="1"/>
  <c r="G139" i="1"/>
  <c r="G137" i="1"/>
  <c r="G123" i="1"/>
  <c r="G121" i="1"/>
  <c r="K283" i="1"/>
  <c r="K23" i="1"/>
  <c r="D163" i="1"/>
  <c r="G388" i="1"/>
  <c r="F255" i="1"/>
  <c r="G252" i="1"/>
  <c r="G236" i="1"/>
  <c r="G251" i="1"/>
  <c r="G235" i="1"/>
  <c r="G250" i="1"/>
  <c r="G234" i="1"/>
  <c r="G249" i="1"/>
  <c r="G233" i="1"/>
  <c r="G248" i="1"/>
  <c r="G232" i="1"/>
  <c r="G246" i="1"/>
  <c r="G230" i="1"/>
  <c r="G228" i="1"/>
  <c r="G227" i="1"/>
  <c r="G254" i="1"/>
  <c r="G226" i="1"/>
  <c r="G253" i="1"/>
  <c r="G225" i="1"/>
  <c r="G247" i="1"/>
  <c r="G224" i="1"/>
  <c r="G245" i="1"/>
  <c r="G223" i="1"/>
  <c r="G244" i="1"/>
  <c r="G222" i="1"/>
  <c r="G243" i="1"/>
  <c r="G221" i="1"/>
  <c r="G242" i="1"/>
  <c r="G241" i="1"/>
  <c r="G219" i="1"/>
  <c r="G240" i="1"/>
  <c r="G218" i="1"/>
  <c r="G239" i="1"/>
  <c r="G217" i="1"/>
  <c r="G238" i="1"/>
  <c r="G216" i="1"/>
  <c r="G237" i="1"/>
  <c r="G229" i="1"/>
  <c r="G215" i="1"/>
  <c r="F599" i="1"/>
  <c r="F600" i="1" s="1"/>
  <c r="G588" i="1"/>
  <c r="G586" i="1"/>
  <c r="G585" i="1"/>
  <c r="G584" i="1"/>
  <c r="G598" i="1"/>
  <c r="G595" i="1"/>
  <c r="G593" i="1"/>
  <c r="G592" i="1"/>
  <c r="G591" i="1"/>
  <c r="G590" i="1"/>
  <c r="G589" i="1"/>
  <c r="G594" i="1"/>
  <c r="G583" i="1"/>
  <c r="G597" i="1"/>
  <c r="G596" i="1"/>
  <c r="E658" i="1"/>
  <c r="I34" i="1"/>
  <c r="I18" i="1"/>
  <c r="I33" i="1"/>
  <c r="I17" i="1"/>
  <c r="I32" i="1"/>
  <c r="I16" i="1"/>
  <c r="I31" i="1"/>
  <c r="I15" i="1"/>
  <c r="I46" i="1"/>
  <c r="I30" i="1"/>
  <c r="I14" i="1"/>
  <c r="I45" i="1"/>
  <c r="I29" i="1"/>
  <c r="I13" i="1"/>
  <c r="I44" i="1"/>
  <c r="I28" i="1"/>
  <c r="I43" i="1"/>
  <c r="I27" i="1"/>
  <c r="I11" i="1"/>
  <c r="I42" i="1"/>
  <c r="I26" i="1"/>
  <c r="I10" i="1"/>
  <c r="I41" i="1"/>
  <c r="I25" i="1"/>
  <c r="I9" i="1"/>
  <c r="I40" i="1"/>
  <c r="I24" i="1"/>
  <c r="I8" i="1"/>
  <c r="I39" i="1"/>
  <c r="I38" i="1"/>
  <c r="I22" i="1"/>
  <c r="I36" i="1"/>
  <c r="I20" i="1"/>
  <c r="I37" i="1"/>
  <c r="I35" i="1"/>
  <c r="I21" i="1"/>
  <c r="I19" i="1"/>
  <c r="K424" i="1"/>
  <c r="D528" i="1"/>
  <c r="I7" i="1"/>
  <c r="K111" i="1"/>
  <c r="D336" i="1"/>
  <c r="H203" i="1"/>
  <c r="H204" i="1" s="1"/>
  <c r="I196" i="1"/>
  <c r="I180" i="1"/>
  <c r="I164" i="1"/>
  <c r="I195" i="1"/>
  <c r="I194" i="1"/>
  <c r="I178" i="1"/>
  <c r="I193" i="1"/>
  <c r="I177" i="1"/>
  <c r="I192" i="1"/>
  <c r="I176" i="1"/>
  <c r="I191" i="1"/>
  <c r="I175" i="1"/>
  <c r="I190" i="1"/>
  <c r="I174" i="1"/>
  <c r="I189" i="1"/>
  <c r="I173" i="1"/>
  <c r="I188" i="1"/>
  <c r="I172" i="1"/>
  <c r="I187" i="1"/>
  <c r="I171" i="1"/>
  <c r="I202" i="1"/>
  <c r="I186" i="1"/>
  <c r="I170" i="1"/>
  <c r="I201" i="1"/>
  <c r="I185" i="1"/>
  <c r="I169" i="1"/>
  <c r="I200" i="1"/>
  <c r="I184" i="1"/>
  <c r="I198" i="1"/>
  <c r="I182" i="1"/>
  <c r="I166" i="1"/>
  <c r="I199" i="1"/>
  <c r="I197" i="1"/>
  <c r="I183" i="1"/>
  <c r="I181" i="1"/>
  <c r="I167" i="1"/>
  <c r="I165" i="1"/>
  <c r="C516" i="1"/>
  <c r="N516" i="1" s="1"/>
  <c r="O516" i="1" s="1"/>
  <c r="D515" i="1"/>
  <c r="D499" i="1"/>
  <c r="D483" i="1"/>
  <c r="D514" i="1"/>
  <c r="D498" i="1"/>
  <c r="D482" i="1"/>
  <c r="D513" i="1"/>
  <c r="D497" i="1"/>
  <c r="D512" i="1"/>
  <c r="D496" i="1"/>
  <c r="D480" i="1"/>
  <c r="D511" i="1"/>
  <c r="D495" i="1"/>
  <c r="D479" i="1"/>
  <c r="D509" i="1"/>
  <c r="D493" i="1"/>
  <c r="D477" i="1"/>
  <c r="D506" i="1"/>
  <c r="D490" i="1"/>
  <c r="D504" i="1"/>
  <c r="D503" i="1"/>
  <c r="D487" i="1"/>
  <c r="D502" i="1"/>
  <c r="D486" i="1"/>
  <c r="D501" i="1"/>
  <c r="D485" i="1"/>
  <c r="D500" i="1"/>
  <c r="D484" i="1"/>
  <c r="D510" i="1"/>
  <c r="D508" i="1"/>
  <c r="D507" i="1"/>
  <c r="D505" i="1"/>
  <c r="D494" i="1"/>
  <c r="D491" i="1"/>
  <c r="D489" i="1"/>
  <c r="D488" i="1"/>
  <c r="D478" i="1"/>
  <c r="I407" i="1"/>
  <c r="I391" i="1"/>
  <c r="I375" i="1"/>
  <c r="I406" i="1"/>
  <c r="I390" i="1"/>
  <c r="I374" i="1"/>
  <c r="I405" i="1"/>
  <c r="I389" i="1"/>
  <c r="I373" i="1"/>
  <c r="I404" i="1"/>
  <c r="I403" i="1"/>
  <c r="I387" i="1"/>
  <c r="I401" i="1"/>
  <c r="I385" i="1"/>
  <c r="I398" i="1"/>
  <c r="I382" i="1"/>
  <c r="I409" i="1"/>
  <c r="I393" i="1"/>
  <c r="I408" i="1"/>
  <c r="I392" i="1"/>
  <c r="I376" i="1"/>
  <c r="I386" i="1"/>
  <c r="I384" i="1"/>
  <c r="I383" i="1"/>
  <c r="I381" i="1"/>
  <c r="I380" i="1"/>
  <c r="I379" i="1"/>
  <c r="I378" i="1"/>
  <c r="I411" i="1"/>
  <c r="I396" i="1"/>
  <c r="I410" i="1"/>
  <c r="I402" i="1"/>
  <c r="I400" i="1"/>
  <c r="I399" i="1"/>
  <c r="I397" i="1"/>
  <c r="I395" i="1"/>
  <c r="I394" i="1"/>
  <c r="I377" i="1"/>
  <c r="I533" i="1"/>
  <c r="I481" i="1"/>
  <c r="G372" i="1"/>
  <c r="I64" i="1"/>
  <c r="G59" i="1"/>
  <c r="J516" i="1"/>
  <c r="J518" i="1" s="1"/>
  <c r="J519" i="1" s="1"/>
  <c r="K501" i="1"/>
  <c r="K485" i="1"/>
  <c r="K500" i="1"/>
  <c r="K484" i="1"/>
  <c r="K515" i="1"/>
  <c r="K499" i="1"/>
  <c r="K483" i="1"/>
  <c r="K514" i="1"/>
  <c r="K498" i="1"/>
  <c r="K482" i="1"/>
  <c r="K513" i="1"/>
  <c r="K497" i="1"/>
  <c r="K511" i="1"/>
  <c r="K495" i="1"/>
  <c r="K479" i="1"/>
  <c r="K508" i="1"/>
  <c r="K506" i="1"/>
  <c r="K490" i="1"/>
  <c r="K505" i="1"/>
  <c r="K489" i="1"/>
  <c r="K504" i="1"/>
  <c r="K488" i="1"/>
  <c r="K503" i="1"/>
  <c r="K487" i="1"/>
  <c r="K502" i="1"/>
  <c r="K486" i="1"/>
  <c r="K512" i="1"/>
  <c r="K510" i="1"/>
  <c r="K509" i="1"/>
  <c r="K507" i="1"/>
  <c r="K496" i="1"/>
  <c r="K494" i="1"/>
  <c r="K493" i="1"/>
  <c r="K491" i="1"/>
  <c r="K480" i="1"/>
  <c r="K478" i="1"/>
  <c r="K477" i="1"/>
  <c r="J47" i="1"/>
  <c r="J48" i="1" s="1"/>
  <c r="J568" i="1"/>
  <c r="J569" i="1" s="1"/>
  <c r="K561" i="1"/>
  <c r="K545" i="1"/>
  <c r="K529" i="1"/>
  <c r="K560" i="1"/>
  <c r="K559" i="1"/>
  <c r="K543" i="1"/>
  <c r="K558" i="1"/>
  <c r="K542" i="1"/>
  <c r="K557" i="1"/>
  <c r="K541" i="1"/>
  <c r="K555" i="1"/>
  <c r="K539" i="1"/>
  <c r="K552" i="1"/>
  <c r="K536" i="1"/>
  <c r="K566" i="1"/>
  <c r="K550" i="1"/>
  <c r="K534" i="1"/>
  <c r="K565" i="1"/>
  <c r="K549" i="1"/>
  <c r="K564" i="1"/>
  <c r="K548" i="1"/>
  <c r="K532" i="1"/>
  <c r="K563" i="1"/>
  <c r="K547" i="1"/>
  <c r="K531" i="1"/>
  <c r="K562" i="1"/>
  <c r="K546" i="1"/>
  <c r="K530" i="1"/>
  <c r="K535" i="1"/>
  <c r="K567" i="1"/>
  <c r="K556" i="1"/>
  <c r="K554" i="1"/>
  <c r="K553" i="1"/>
  <c r="K551" i="1"/>
  <c r="K538" i="1"/>
  <c r="K537" i="1"/>
  <c r="K540" i="1"/>
  <c r="K148" i="1"/>
  <c r="K132" i="1"/>
  <c r="K147" i="1"/>
  <c r="K131" i="1"/>
  <c r="K115" i="1"/>
  <c r="K146" i="1"/>
  <c r="K130" i="1"/>
  <c r="K114" i="1"/>
  <c r="K145" i="1"/>
  <c r="K129" i="1"/>
  <c r="K113" i="1"/>
  <c r="K144" i="1"/>
  <c r="K128" i="1"/>
  <c r="K112" i="1"/>
  <c r="K143" i="1"/>
  <c r="K142" i="1"/>
  <c r="K126" i="1"/>
  <c r="K141" i="1"/>
  <c r="K125" i="1"/>
  <c r="K140" i="1"/>
  <c r="K124" i="1"/>
  <c r="K139" i="1"/>
  <c r="K123" i="1"/>
  <c r="K138" i="1"/>
  <c r="K122" i="1"/>
  <c r="K137" i="1"/>
  <c r="K121" i="1"/>
  <c r="K136" i="1"/>
  <c r="K120" i="1"/>
  <c r="K150" i="1"/>
  <c r="K134" i="1"/>
  <c r="K118" i="1"/>
  <c r="K149" i="1"/>
  <c r="K135" i="1"/>
  <c r="K133" i="1"/>
  <c r="K119" i="1"/>
  <c r="K117" i="1"/>
  <c r="N604" i="1"/>
  <c r="O604" i="1" s="1"/>
  <c r="D640" i="1"/>
  <c r="D624" i="1"/>
  <c r="D608" i="1"/>
  <c r="D639" i="1"/>
  <c r="D623" i="1"/>
  <c r="D607" i="1"/>
  <c r="D638" i="1"/>
  <c r="D622" i="1"/>
  <c r="D606" i="1"/>
  <c r="D637" i="1"/>
  <c r="D636" i="1"/>
  <c r="D620" i="1"/>
  <c r="D634" i="1"/>
  <c r="D618" i="1"/>
  <c r="D631" i="1"/>
  <c r="D615" i="1"/>
  <c r="D629" i="1"/>
  <c r="D613" i="1"/>
  <c r="D644" i="1"/>
  <c r="D628" i="1"/>
  <c r="D612" i="1"/>
  <c r="D643" i="1"/>
  <c r="D627" i="1"/>
  <c r="D611" i="1"/>
  <c r="D642" i="1"/>
  <c r="D626" i="1"/>
  <c r="D641" i="1"/>
  <c r="D625" i="1"/>
  <c r="D609" i="1"/>
  <c r="D630" i="1"/>
  <c r="D619" i="1"/>
  <c r="D617" i="1"/>
  <c r="D616" i="1"/>
  <c r="D614" i="1"/>
  <c r="D633" i="1"/>
  <c r="D632" i="1"/>
  <c r="D635" i="1"/>
  <c r="N214" i="1"/>
  <c r="O214" i="1" s="1"/>
  <c r="G587" i="1"/>
  <c r="J151" i="1"/>
  <c r="K267" i="1"/>
  <c r="D188" i="1"/>
  <c r="D172" i="1"/>
  <c r="D187" i="1"/>
  <c r="D171" i="1"/>
  <c r="D202" i="1"/>
  <c r="D186" i="1"/>
  <c r="D170" i="1"/>
  <c r="D201" i="1"/>
  <c r="D185" i="1"/>
  <c r="D169" i="1"/>
  <c r="D200" i="1"/>
  <c r="D184" i="1"/>
  <c r="D199" i="1"/>
  <c r="D183" i="1"/>
  <c r="D167" i="1"/>
  <c r="D198" i="1"/>
  <c r="D182" i="1"/>
  <c r="D166" i="1"/>
  <c r="D197" i="1"/>
  <c r="D181" i="1"/>
  <c r="D165" i="1"/>
  <c r="D196" i="1"/>
  <c r="D180" i="1"/>
  <c r="D164" i="1"/>
  <c r="D195" i="1"/>
  <c r="D194" i="1"/>
  <c r="D178" i="1"/>
  <c r="D193" i="1"/>
  <c r="D177" i="1"/>
  <c r="D192" i="1"/>
  <c r="D176" i="1"/>
  <c r="D190" i="1"/>
  <c r="D174" i="1"/>
  <c r="D191" i="1"/>
  <c r="D175" i="1"/>
  <c r="D189" i="1"/>
  <c r="D173" i="1"/>
  <c r="J203" i="1"/>
  <c r="J205" i="1" s="1"/>
  <c r="J206" i="1" s="1"/>
  <c r="K202" i="1"/>
  <c r="K186" i="1"/>
  <c r="K170" i="1"/>
  <c r="K201" i="1"/>
  <c r="K185" i="1"/>
  <c r="K169" i="1"/>
  <c r="K200" i="1"/>
  <c r="K184" i="1"/>
  <c r="K199" i="1"/>
  <c r="K183" i="1"/>
  <c r="K167" i="1"/>
  <c r="K198" i="1"/>
  <c r="K182" i="1"/>
  <c r="K166" i="1"/>
  <c r="K197" i="1"/>
  <c r="K181" i="1"/>
  <c r="K165" i="1"/>
  <c r="K196" i="1"/>
  <c r="K180" i="1"/>
  <c r="K164" i="1"/>
  <c r="K195" i="1"/>
  <c r="K194" i="1"/>
  <c r="K178" i="1"/>
  <c r="K193" i="1"/>
  <c r="K177" i="1"/>
  <c r="K192" i="1"/>
  <c r="K176" i="1"/>
  <c r="K191" i="1"/>
  <c r="K175" i="1"/>
  <c r="K190" i="1"/>
  <c r="K174" i="1"/>
  <c r="K188" i="1"/>
  <c r="K172" i="1"/>
  <c r="K189" i="1"/>
  <c r="K187" i="1"/>
  <c r="K173" i="1"/>
  <c r="K171" i="1"/>
  <c r="G565" i="1"/>
  <c r="G549" i="1"/>
  <c r="G564" i="1"/>
  <c r="G548" i="1"/>
  <c r="G532" i="1"/>
  <c r="G563" i="1"/>
  <c r="G547" i="1"/>
  <c r="G531" i="1"/>
  <c r="G562" i="1"/>
  <c r="G546" i="1"/>
  <c r="G530" i="1"/>
  <c r="G561" i="1"/>
  <c r="G545" i="1"/>
  <c r="G529" i="1"/>
  <c r="G559" i="1"/>
  <c r="G543" i="1"/>
  <c r="G556" i="1"/>
  <c r="G540" i="1"/>
  <c r="G554" i="1"/>
  <c r="G538" i="1"/>
  <c r="G553" i="1"/>
  <c r="G537" i="1"/>
  <c r="G552" i="1"/>
  <c r="G536" i="1"/>
  <c r="G567" i="1"/>
  <c r="G551" i="1"/>
  <c r="G535" i="1"/>
  <c r="G566" i="1"/>
  <c r="G550" i="1"/>
  <c r="G534" i="1"/>
  <c r="G555" i="1"/>
  <c r="G542" i="1"/>
  <c r="G541" i="1"/>
  <c r="G539" i="1"/>
  <c r="G560" i="1"/>
  <c r="G558" i="1"/>
  <c r="G557" i="1"/>
  <c r="K533" i="1"/>
  <c r="C568" i="1"/>
  <c r="C570" i="1" s="1"/>
  <c r="C571" i="1" s="1"/>
  <c r="I142" i="1"/>
  <c r="I126" i="1"/>
  <c r="I141" i="1"/>
  <c r="I125" i="1"/>
  <c r="I140" i="1"/>
  <c r="I124" i="1"/>
  <c r="I139" i="1"/>
  <c r="I123" i="1"/>
  <c r="I138" i="1"/>
  <c r="I122" i="1"/>
  <c r="I137" i="1"/>
  <c r="I121" i="1"/>
  <c r="I136" i="1"/>
  <c r="I120" i="1"/>
  <c r="I135" i="1"/>
  <c r="I119" i="1"/>
  <c r="I150" i="1"/>
  <c r="I134" i="1"/>
  <c r="I118" i="1"/>
  <c r="I149" i="1"/>
  <c r="I133" i="1"/>
  <c r="I117" i="1"/>
  <c r="I148" i="1"/>
  <c r="I132" i="1"/>
  <c r="I147" i="1"/>
  <c r="I131" i="1"/>
  <c r="I115" i="1"/>
  <c r="I146" i="1"/>
  <c r="I130" i="1"/>
  <c r="I114" i="1"/>
  <c r="I144" i="1"/>
  <c r="I128" i="1"/>
  <c r="I112" i="1"/>
  <c r="I145" i="1"/>
  <c r="I143" i="1"/>
  <c r="I129" i="1"/>
  <c r="I127" i="1"/>
  <c r="I113" i="1"/>
  <c r="I111" i="1"/>
  <c r="K528" i="1"/>
  <c r="L604" i="1"/>
  <c r="M604" i="1" s="1"/>
  <c r="G631" i="1"/>
  <c r="G615" i="1"/>
  <c r="G630" i="1"/>
  <c r="G614" i="1"/>
  <c r="G629" i="1"/>
  <c r="G613" i="1"/>
  <c r="G644" i="1"/>
  <c r="G628" i="1"/>
  <c r="G612" i="1"/>
  <c r="G643" i="1"/>
  <c r="G627" i="1"/>
  <c r="G611" i="1"/>
  <c r="G641" i="1"/>
  <c r="G625" i="1"/>
  <c r="G609" i="1"/>
  <c r="G638" i="1"/>
  <c r="G622" i="1"/>
  <c r="G606" i="1"/>
  <c r="G636" i="1"/>
  <c r="G620" i="1"/>
  <c r="G635" i="1"/>
  <c r="G619" i="1"/>
  <c r="G634" i="1"/>
  <c r="G618" i="1"/>
  <c r="G633" i="1"/>
  <c r="G617" i="1"/>
  <c r="G632" i="1"/>
  <c r="G616" i="1"/>
  <c r="G642" i="1"/>
  <c r="G640" i="1"/>
  <c r="G639" i="1"/>
  <c r="G637" i="1"/>
  <c r="G626" i="1"/>
  <c r="G624" i="1"/>
  <c r="G623" i="1"/>
  <c r="G608" i="1"/>
  <c r="G607" i="1"/>
  <c r="G461" i="1"/>
  <c r="G445" i="1"/>
  <c r="G460" i="1"/>
  <c r="G444" i="1"/>
  <c r="G428" i="1"/>
  <c r="G459" i="1"/>
  <c r="G443" i="1"/>
  <c r="G427" i="1"/>
  <c r="G458" i="1"/>
  <c r="G442" i="1"/>
  <c r="G426" i="1"/>
  <c r="G457" i="1"/>
  <c r="G441" i="1"/>
  <c r="G425" i="1"/>
  <c r="G455" i="1"/>
  <c r="G439" i="1"/>
  <c r="G452" i="1"/>
  <c r="G436" i="1"/>
  <c r="G449" i="1"/>
  <c r="G433" i="1"/>
  <c r="G448" i="1"/>
  <c r="G463" i="1"/>
  <c r="G447" i="1"/>
  <c r="G431" i="1"/>
  <c r="G462" i="1"/>
  <c r="G446" i="1"/>
  <c r="G430" i="1"/>
  <c r="G435" i="1"/>
  <c r="G434" i="1"/>
  <c r="G432" i="1"/>
  <c r="G456" i="1"/>
  <c r="G454" i="1"/>
  <c r="G453" i="1"/>
  <c r="G451" i="1"/>
  <c r="G450" i="1"/>
  <c r="G438" i="1"/>
  <c r="G440" i="1"/>
  <c r="G437" i="1"/>
  <c r="C360" i="1"/>
  <c r="C362" i="1" s="1"/>
  <c r="C363" i="1" s="1"/>
  <c r="G325" i="1"/>
  <c r="D476" i="1"/>
  <c r="K7" i="1"/>
  <c r="K629" i="1"/>
  <c r="K613" i="1"/>
  <c r="K644" i="1"/>
  <c r="K628" i="1"/>
  <c r="K612" i="1"/>
  <c r="K643" i="1"/>
  <c r="K627" i="1"/>
  <c r="K611" i="1"/>
  <c r="K642" i="1"/>
  <c r="K626" i="1"/>
  <c r="K641" i="1"/>
  <c r="K625" i="1"/>
  <c r="K609" i="1"/>
  <c r="K639" i="1"/>
  <c r="K623" i="1"/>
  <c r="K607" i="1"/>
  <c r="K636" i="1"/>
  <c r="K620" i="1"/>
  <c r="K635" i="1"/>
  <c r="K619" i="1"/>
  <c r="K634" i="1"/>
  <c r="K618" i="1"/>
  <c r="K633" i="1"/>
  <c r="K617" i="1"/>
  <c r="K632" i="1"/>
  <c r="K616" i="1"/>
  <c r="K631" i="1"/>
  <c r="K615" i="1"/>
  <c r="K630" i="1"/>
  <c r="K614" i="1"/>
  <c r="K640" i="1"/>
  <c r="K638" i="1"/>
  <c r="K637" i="1"/>
  <c r="K624" i="1"/>
  <c r="K622" i="1"/>
  <c r="K608" i="1"/>
  <c r="K606" i="1"/>
  <c r="K353" i="1"/>
  <c r="K337" i="1"/>
  <c r="K321" i="1"/>
  <c r="K352" i="1"/>
  <c r="K351" i="1"/>
  <c r="K335" i="1"/>
  <c r="K350" i="1"/>
  <c r="K334" i="1"/>
  <c r="K349" i="1"/>
  <c r="K333" i="1"/>
  <c r="K347" i="1"/>
  <c r="K331" i="1"/>
  <c r="K344" i="1"/>
  <c r="K328" i="1"/>
  <c r="K355" i="1"/>
  <c r="K339" i="1"/>
  <c r="K323" i="1"/>
  <c r="K354" i="1"/>
  <c r="K338" i="1"/>
  <c r="K322" i="1"/>
  <c r="K356" i="1"/>
  <c r="K348" i="1"/>
  <c r="K346" i="1"/>
  <c r="K345" i="1"/>
  <c r="K343" i="1"/>
  <c r="K342" i="1"/>
  <c r="K341" i="1"/>
  <c r="K340" i="1"/>
  <c r="K359" i="1"/>
  <c r="K325" i="1"/>
  <c r="K332" i="1"/>
  <c r="K330" i="1"/>
  <c r="K329" i="1"/>
  <c r="K327" i="1"/>
  <c r="K326" i="1"/>
  <c r="K358" i="1"/>
  <c r="K324" i="1"/>
  <c r="K357" i="1"/>
  <c r="C99" i="1"/>
  <c r="C101" i="1" s="1"/>
  <c r="C102" i="1" s="1"/>
  <c r="D88" i="1"/>
  <c r="D72" i="1"/>
  <c r="D87" i="1"/>
  <c r="D71" i="1"/>
  <c r="D86" i="1"/>
  <c r="D70" i="1"/>
  <c r="D85" i="1"/>
  <c r="D69" i="1"/>
  <c r="D84" i="1"/>
  <c r="D68" i="1"/>
  <c r="D83" i="1"/>
  <c r="D67" i="1"/>
  <c r="D98" i="1"/>
  <c r="D82" i="1"/>
  <c r="D66" i="1"/>
  <c r="D97" i="1"/>
  <c r="D81" i="1"/>
  <c r="D65" i="1"/>
  <c r="D96" i="1"/>
  <c r="D80" i="1"/>
  <c r="D95" i="1"/>
  <c r="D79" i="1"/>
  <c r="D63" i="1"/>
  <c r="D94" i="1"/>
  <c r="D78" i="1"/>
  <c r="D62" i="1"/>
  <c r="D93" i="1"/>
  <c r="D77" i="1"/>
  <c r="D61" i="1"/>
  <c r="D92" i="1"/>
  <c r="D76" i="1"/>
  <c r="D60" i="1"/>
  <c r="D90" i="1"/>
  <c r="D74" i="1"/>
  <c r="D91" i="1"/>
  <c r="D89" i="1"/>
  <c r="D75" i="1"/>
  <c r="D73" i="1"/>
  <c r="D59" i="1"/>
  <c r="C307" i="1"/>
  <c r="C308" i="1" s="1"/>
  <c r="D306" i="1"/>
  <c r="D290" i="1"/>
  <c r="D274" i="1"/>
  <c r="D305" i="1"/>
  <c r="D289" i="1"/>
  <c r="D273" i="1"/>
  <c r="D304" i="1"/>
  <c r="D288" i="1"/>
  <c r="D303" i="1"/>
  <c r="D287" i="1"/>
  <c r="D271" i="1"/>
  <c r="D302" i="1"/>
  <c r="D286" i="1"/>
  <c r="D270" i="1"/>
  <c r="D300" i="1"/>
  <c r="D284" i="1"/>
  <c r="D268" i="1"/>
  <c r="D297" i="1"/>
  <c r="D281" i="1"/>
  <c r="D292" i="1"/>
  <c r="D276" i="1"/>
  <c r="D298" i="1"/>
  <c r="D296" i="1"/>
  <c r="D295" i="1"/>
  <c r="D294" i="1"/>
  <c r="D293" i="1"/>
  <c r="D291" i="1"/>
  <c r="D285" i="1"/>
  <c r="D282" i="1"/>
  <c r="D280" i="1"/>
  <c r="D279" i="1"/>
  <c r="D278" i="1"/>
  <c r="D277" i="1"/>
  <c r="D301" i="1"/>
  <c r="D269" i="1"/>
  <c r="D275" i="1"/>
  <c r="D267" i="1"/>
  <c r="D299" i="1"/>
  <c r="G44" i="1"/>
  <c r="G28" i="1"/>
  <c r="G43" i="1"/>
  <c r="G27" i="1"/>
  <c r="G11" i="1"/>
  <c r="G42" i="1"/>
  <c r="G26" i="1"/>
  <c r="G10" i="1"/>
  <c r="G41" i="1"/>
  <c r="G25" i="1"/>
  <c r="G9" i="1"/>
  <c r="G40" i="1"/>
  <c r="G24" i="1"/>
  <c r="G8" i="1"/>
  <c r="G39" i="1"/>
  <c r="G38" i="1"/>
  <c r="G22" i="1"/>
  <c r="G37" i="1"/>
  <c r="G21" i="1"/>
  <c r="G36" i="1"/>
  <c r="G20" i="1"/>
  <c r="G35" i="1"/>
  <c r="G19" i="1"/>
  <c r="G34" i="1"/>
  <c r="G18" i="1"/>
  <c r="G33" i="1"/>
  <c r="G17" i="1"/>
  <c r="G32" i="1"/>
  <c r="G16" i="1"/>
  <c r="G46" i="1"/>
  <c r="G30" i="1"/>
  <c r="G14" i="1"/>
  <c r="G45" i="1"/>
  <c r="G31" i="1"/>
  <c r="G29" i="1"/>
  <c r="G15" i="1"/>
  <c r="G13" i="1"/>
  <c r="C203" i="1"/>
  <c r="K610" i="1"/>
  <c r="D424" i="1"/>
  <c r="G582" i="1"/>
  <c r="I451" i="1"/>
  <c r="I435" i="1"/>
  <c r="I450" i="1"/>
  <c r="I434" i="1"/>
  <c r="I449" i="1"/>
  <c r="I433" i="1"/>
  <c r="I448" i="1"/>
  <c r="I432" i="1"/>
  <c r="I463" i="1"/>
  <c r="I447" i="1"/>
  <c r="I431" i="1"/>
  <c r="I461" i="1"/>
  <c r="I445" i="1"/>
  <c r="I458" i="1"/>
  <c r="I442" i="1"/>
  <c r="I426" i="1"/>
  <c r="I455" i="1"/>
  <c r="I439" i="1"/>
  <c r="I454" i="1"/>
  <c r="I438" i="1"/>
  <c r="I453" i="1"/>
  <c r="I437" i="1"/>
  <c r="I452" i="1"/>
  <c r="I436" i="1"/>
  <c r="I443" i="1"/>
  <c r="I441" i="1"/>
  <c r="I430" i="1"/>
  <c r="I428" i="1"/>
  <c r="I427" i="1"/>
  <c r="I425" i="1"/>
  <c r="I462" i="1"/>
  <c r="I460" i="1"/>
  <c r="I459" i="1"/>
  <c r="I457" i="1"/>
  <c r="I446" i="1"/>
  <c r="I456" i="1"/>
  <c r="I444" i="1"/>
  <c r="I168" i="1"/>
  <c r="G163" i="1"/>
  <c r="I336" i="1"/>
  <c r="I242" i="1"/>
  <c r="I226" i="1"/>
  <c r="I241" i="1"/>
  <c r="I225" i="1"/>
  <c r="I240" i="1"/>
  <c r="I224" i="1"/>
  <c r="I239" i="1"/>
  <c r="I223" i="1"/>
  <c r="I254" i="1"/>
  <c r="I238" i="1"/>
  <c r="I222" i="1"/>
  <c r="I252" i="1"/>
  <c r="I236" i="1"/>
  <c r="I249" i="1"/>
  <c r="I233" i="1"/>
  <c r="I217" i="1"/>
  <c r="I244" i="1"/>
  <c r="I243" i="1"/>
  <c r="I237" i="1"/>
  <c r="I235" i="1"/>
  <c r="I234" i="1"/>
  <c r="I232" i="1"/>
  <c r="I230" i="1"/>
  <c r="I229" i="1"/>
  <c r="I253" i="1"/>
  <c r="I228" i="1"/>
  <c r="I251" i="1"/>
  <c r="I227" i="1"/>
  <c r="I250" i="1"/>
  <c r="I221" i="1"/>
  <c r="I248" i="1"/>
  <c r="I219" i="1"/>
  <c r="I246" i="1"/>
  <c r="I216" i="1"/>
  <c r="I247" i="1"/>
  <c r="I245" i="1"/>
  <c r="I218" i="1"/>
  <c r="I215" i="1"/>
  <c r="I59" i="1"/>
  <c r="C658" i="1"/>
  <c r="F516" i="1"/>
  <c r="L516" i="1" s="1"/>
  <c r="M516" i="1" s="1"/>
  <c r="F99" i="1"/>
  <c r="E309" i="1"/>
  <c r="E310" i="1" s="1"/>
  <c r="E517" i="1"/>
  <c r="E518" i="1"/>
  <c r="E519" i="1" s="1"/>
  <c r="E256" i="1"/>
  <c r="L319" i="1"/>
  <c r="M319" i="1" s="1"/>
  <c r="F570" i="1"/>
  <c r="F571" i="1" s="1"/>
  <c r="F205" i="1"/>
  <c r="F206" i="1" s="1"/>
  <c r="F204" i="1"/>
  <c r="E153" i="1"/>
  <c r="E154" i="1" s="1"/>
  <c r="E152" i="1"/>
  <c r="E569" i="1"/>
  <c r="E570" i="1"/>
  <c r="E571" i="1" s="1"/>
  <c r="E600" i="1"/>
  <c r="E645" i="1"/>
  <c r="E99" i="1"/>
  <c r="E659" i="1" s="1"/>
  <c r="E48" i="1"/>
  <c r="E49" i="1"/>
  <c r="E50" i="1" s="1"/>
  <c r="N58" i="1"/>
  <c r="O58" i="1" s="1"/>
  <c r="L214" i="1"/>
  <c r="M214" i="1" s="1"/>
  <c r="H256" i="1"/>
  <c r="L371" i="1"/>
  <c r="M371" i="1" s="1"/>
  <c r="N162" i="1"/>
  <c r="O162" i="1" s="1"/>
  <c r="J308" i="1"/>
  <c r="H658" i="1"/>
  <c r="J658" i="1"/>
  <c r="F362" i="1"/>
  <c r="F363" i="1" s="1"/>
  <c r="E362" i="1"/>
  <c r="E363" i="1" s="1"/>
  <c r="J257" i="1"/>
  <c r="J258" i="1" s="1"/>
  <c r="J256" i="1"/>
  <c r="E205" i="1"/>
  <c r="E206" i="1" s="1"/>
  <c r="E204" i="1"/>
  <c r="L307" i="1"/>
  <c r="M307" i="1" s="1"/>
  <c r="N475" i="1"/>
  <c r="O475" i="1" s="1"/>
  <c r="C47" i="1"/>
  <c r="D39" i="1"/>
  <c r="D44" i="1"/>
  <c r="D27" i="1"/>
  <c r="D10" i="1"/>
  <c r="D43" i="1"/>
  <c r="D9" i="1"/>
  <c r="D25" i="1"/>
  <c r="D26" i="1"/>
  <c r="D8" i="1"/>
  <c r="D42" i="1"/>
  <c r="D37" i="1"/>
  <c r="D20" i="1"/>
  <c r="D36" i="1"/>
  <c r="D19" i="1"/>
  <c r="D33" i="1"/>
  <c r="D35" i="1"/>
  <c r="D18" i="1"/>
  <c r="D34" i="1"/>
  <c r="D17" i="1"/>
  <c r="D16" i="1"/>
  <c r="D46" i="1"/>
  <c r="D29" i="1"/>
  <c r="D12" i="1"/>
  <c r="D13" i="1"/>
  <c r="D45" i="1"/>
  <c r="D11" i="1"/>
  <c r="D41" i="1"/>
  <c r="D40" i="1"/>
  <c r="D38" i="1"/>
  <c r="D32" i="1"/>
  <c r="D14" i="1"/>
  <c r="D21" i="1"/>
  <c r="D31" i="1"/>
  <c r="D30" i="1"/>
  <c r="D22" i="1"/>
  <c r="D28" i="1"/>
  <c r="D24" i="1"/>
  <c r="D15" i="1"/>
  <c r="N266" i="1"/>
  <c r="O266" i="1" s="1"/>
  <c r="H47" i="1"/>
  <c r="N6" i="1"/>
  <c r="O6" i="1" s="1"/>
  <c r="L6" i="1"/>
  <c r="M6" i="1" s="1"/>
  <c r="L58" i="1"/>
  <c r="M58" i="1" s="1"/>
  <c r="L162" i="1"/>
  <c r="M162" i="1" s="1"/>
  <c r="N110" i="1"/>
  <c r="O110" i="1" s="1"/>
  <c r="L110" i="1"/>
  <c r="M110" i="1" s="1"/>
  <c r="D7" i="1"/>
  <c r="N423" i="1"/>
  <c r="O423" i="1" s="1"/>
  <c r="D23" i="1"/>
  <c r="H599" i="1"/>
  <c r="H645" i="1" s="1"/>
  <c r="N581" i="1"/>
  <c r="O581" i="1" s="1"/>
  <c r="L581" i="1"/>
  <c r="M581" i="1" s="1"/>
  <c r="L423" i="1"/>
  <c r="M423" i="1" s="1"/>
  <c r="N464" i="1"/>
  <c r="O464" i="1" s="1"/>
  <c r="L412" i="1"/>
  <c r="M412" i="1" s="1"/>
  <c r="N371" i="1"/>
  <c r="O371" i="1" s="1"/>
  <c r="J360" i="1"/>
  <c r="L318" i="1"/>
  <c r="M318" i="1" s="1"/>
  <c r="N318" i="1"/>
  <c r="O318" i="1" s="1"/>
  <c r="J600" i="1" l="1"/>
  <c r="F645" i="1"/>
  <c r="H101" i="1"/>
  <c r="H102" i="1" s="1"/>
  <c r="H569" i="1"/>
  <c r="L99" i="1"/>
  <c r="M99" i="1" s="1"/>
  <c r="L464" i="1"/>
  <c r="M464" i="1" s="1"/>
  <c r="N307" i="1"/>
  <c r="O307" i="1" s="1"/>
  <c r="H205" i="1"/>
  <c r="H206" i="1" s="1"/>
  <c r="N568" i="1"/>
  <c r="O568" i="1" s="1"/>
  <c r="J204" i="1"/>
  <c r="J570" i="1"/>
  <c r="J571" i="1" s="1"/>
  <c r="C569" i="1"/>
  <c r="C309" i="1"/>
  <c r="C310" i="1" s="1"/>
  <c r="F49" i="1"/>
  <c r="F50" i="1" s="1"/>
  <c r="N412" i="1"/>
  <c r="O412" i="1" s="1"/>
  <c r="L568" i="1"/>
  <c r="M568" i="1" s="1"/>
  <c r="J659" i="1"/>
  <c r="J517" i="1"/>
  <c r="J49" i="1"/>
  <c r="J50" i="1" s="1"/>
  <c r="F308" i="1"/>
  <c r="F659" i="1"/>
  <c r="C600" i="1"/>
  <c r="C517" i="1"/>
  <c r="C100" i="1"/>
  <c r="J101" i="1"/>
  <c r="J102" i="1" s="1"/>
  <c r="J100" i="1"/>
  <c r="C518" i="1"/>
  <c r="C519" i="1" s="1"/>
  <c r="F256" i="1"/>
  <c r="F257" i="1"/>
  <c r="F258" i="1" s="1"/>
  <c r="N255" i="1"/>
  <c r="O255" i="1" s="1"/>
  <c r="J153" i="1"/>
  <c r="J154" i="1" s="1"/>
  <c r="J152" i="1"/>
  <c r="F153" i="1"/>
  <c r="F154" i="1" s="1"/>
  <c r="F152" i="1"/>
  <c r="C256" i="1"/>
  <c r="C153" i="1"/>
  <c r="C154" i="1" s="1"/>
  <c r="C152" i="1"/>
  <c r="E101" i="1"/>
  <c r="E102" i="1" s="1"/>
  <c r="F100" i="1"/>
  <c r="C204" i="1"/>
  <c r="C205" i="1"/>
  <c r="C206" i="1" s="1"/>
  <c r="F101" i="1"/>
  <c r="F102" i="1" s="1"/>
  <c r="N99" i="1"/>
  <c r="O99" i="1" s="1"/>
  <c r="F518" i="1"/>
  <c r="F519" i="1" s="1"/>
  <c r="F517" i="1"/>
  <c r="E647" i="1"/>
  <c r="E648" i="1" s="1"/>
  <c r="E646" i="1"/>
  <c r="H659" i="1"/>
  <c r="H49" i="1"/>
  <c r="H50" i="1" s="1"/>
  <c r="E100" i="1"/>
  <c r="J647" i="1"/>
  <c r="J648" i="1" s="1"/>
  <c r="J646" i="1"/>
  <c r="F647" i="1"/>
  <c r="F648" i="1" s="1"/>
  <c r="F646" i="1"/>
  <c r="C48" i="1"/>
  <c r="C659" i="1"/>
  <c r="C49" i="1"/>
  <c r="C50" i="1" s="1"/>
  <c r="H647" i="1"/>
  <c r="H648" i="1" s="1"/>
  <c r="H646" i="1"/>
  <c r="C647" i="1"/>
  <c r="C648" i="1" s="1"/>
  <c r="C646" i="1"/>
  <c r="J362" i="1"/>
  <c r="J363" i="1" s="1"/>
  <c r="N203" i="1"/>
  <c r="O203" i="1" s="1"/>
  <c r="L203" i="1"/>
  <c r="M203" i="1" s="1"/>
  <c r="L255" i="1"/>
  <c r="M255" i="1" s="1"/>
  <c r="N47" i="1"/>
  <c r="O47" i="1" s="1"/>
  <c r="L47" i="1"/>
  <c r="M47" i="1" s="1"/>
  <c r="H48" i="1"/>
  <c r="H600" i="1"/>
  <c r="N599" i="1"/>
  <c r="O599" i="1" s="1"/>
  <c r="L599" i="1"/>
  <c r="M599" i="1" s="1"/>
  <c r="H360" i="1"/>
  <c r="H362" i="1" l="1"/>
  <c r="H363" i="1" s="1"/>
  <c r="C414" i="1" l="1"/>
  <c r="C415" i="1" s="1"/>
  <c r="E414" i="1"/>
  <c r="E415" i="1" s="1"/>
  <c r="F414" i="1"/>
  <c r="H414" i="1"/>
  <c r="H415" i="1" s="1"/>
  <c r="J414" i="1"/>
  <c r="J415" i="1" s="1"/>
  <c r="F415" i="1"/>
  <c r="C466" i="1"/>
  <c r="C467" i="1" s="1"/>
  <c r="E466" i="1"/>
  <c r="E467" i="1" s="1"/>
  <c r="F466" i="1"/>
  <c r="F467" i="1" s="1"/>
  <c r="H466" i="1"/>
  <c r="H467" i="1" s="1"/>
  <c r="J466" i="1"/>
  <c r="J467" i="1" s="1"/>
</calcChain>
</file>

<file path=xl/sharedStrings.xml><?xml version="1.0" encoding="utf-8"?>
<sst xmlns="http://schemas.openxmlformats.org/spreadsheetml/2006/main" count="1434" uniqueCount="133">
  <si>
    <t>№ п/п</t>
  </si>
  <si>
    <t xml:space="preserve">Antonijas </t>
  </si>
  <si>
    <t>Факт - прошлый месяц</t>
  </si>
  <si>
    <t>План месяца из годового плана</t>
  </si>
  <si>
    <t>План текущего месяца</t>
  </si>
  <si>
    <t xml:space="preserve">Факт текущего месяца </t>
  </si>
  <si>
    <t xml:space="preserve">Прогноз будущего месяца </t>
  </si>
  <si>
    <t>Доля, %</t>
  </si>
  <si>
    <t>1.</t>
  </si>
  <si>
    <t>1.1.</t>
  </si>
  <si>
    <t>Выручка от аренды</t>
  </si>
  <si>
    <t>1.2.</t>
  </si>
  <si>
    <t>Выручка от возмещение коммунальных услуг</t>
  </si>
  <si>
    <t>2.</t>
  </si>
  <si>
    <t>Расходы</t>
  </si>
  <si>
    <t>2.1.</t>
  </si>
  <si>
    <t xml:space="preserve">ФОТ + налоги на ФОТ </t>
  </si>
  <si>
    <t>2.1.1.</t>
  </si>
  <si>
    <t xml:space="preserve">- ФОТ </t>
  </si>
  <si>
    <t>2.1.2.</t>
  </si>
  <si>
    <t xml:space="preserve">- Налоги </t>
  </si>
  <si>
    <t>2.2.</t>
  </si>
  <si>
    <t xml:space="preserve">Коммунальные расходы </t>
  </si>
  <si>
    <t>2.3.</t>
  </si>
  <si>
    <t>Комиссия внешним риэлторам и партнерам</t>
  </si>
  <si>
    <t>2.4.</t>
  </si>
  <si>
    <t>Закупки, обслуживание и ремонт:</t>
  </si>
  <si>
    <t>2.4.1.</t>
  </si>
  <si>
    <t xml:space="preserve"> - Бытовое оборудование, инвентарь</t>
  </si>
  <si>
    <t>2.4.2.</t>
  </si>
  <si>
    <t xml:space="preserve"> - Мебель</t>
  </si>
  <si>
    <t>2.4.3.</t>
  </si>
  <si>
    <t xml:space="preserve"> - Оргтехника</t>
  </si>
  <si>
    <t>2.4.4.</t>
  </si>
  <si>
    <t xml:space="preserve"> - Хоз.принадлежности</t>
  </si>
  <si>
    <t>2.4.5.</t>
  </si>
  <si>
    <t xml:space="preserve"> - Прочие мелкие ТМЦ</t>
  </si>
  <si>
    <t>2.4.6.</t>
  </si>
  <si>
    <t xml:space="preserve"> - Обслуживание объектов (бытовые вопросы, без ремонта)</t>
  </si>
  <si>
    <t>2.4.7.</t>
  </si>
  <si>
    <t xml:space="preserve"> - Страхование</t>
  </si>
  <si>
    <t>2.4.8.</t>
  </si>
  <si>
    <t xml:space="preserve"> - Ремонт текущий</t>
  </si>
  <si>
    <t>2.5.</t>
  </si>
  <si>
    <t>Налог на недвижимость</t>
  </si>
  <si>
    <t>2.6.</t>
  </si>
  <si>
    <t>РКО</t>
  </si>
  <si>
    <t>3.</t>
  </si>
  <si>
    <t>Прочие расходы</t>
  </si>
  <si>
    <t>3.1.</t>
  </si>
  <si>
    <t xml:space="preserve">- Командировки </t>
  </si>
  <si>
    <t>3.2.</t>
  </si>
  <si>
    <t xml:space="preserve"> - Объявление, реклама </t>
  </si>
  <si>
    <t>3.3.</t>
  </si>
  <si>
    <t xml:space="preserve">- Такси </t>
  </si>
  <si>
    <t>3.4.</t>
  </si>
  <si>
    <t>- Расходы на персонал</t>
  </si>
  <si>
    <t>3.5.</t>
  </si>
  <si>
    <t xml:space="preserve">- Консультационные услуги </t>
  </si>
  <si>
    <t>3.6.</t>
  </si>
  <si>
    <t xml:space="preserve">- Интернет, программы,телефоны </t>
  </si>
  <si>
    <t>3.7.</t>
  </si>
  <si>
    <t>- Представительские расходы</t>
  </si>
  <si>
    <t>3.8.</t>
  </si>
  <si>
    <t>- Бухгалтер</t>
  </si>
  <si>
    <t>3.9.</t>
  </si>
  <si>
    <t>- Юридические услуги (Голландия)</t>
  </si>
  <si>
    <t>3.10.</t>
  </si>
  <si>
    <t>- Юридические услуги</t>
  </si>
  <si>
    <t>3.11.</t>
  </si>
  <si>
    <t>- Налог на прибыль</t>
  </si>
  <si>
    <t>3.12.</t>
  </si>
  <si>
    <t>- Туристический налог</t>
  </si>
  <si>
    <t>3.13.</t>
  </si>
  <si>
    <t xml:space="preserve">- Ячейки </t>
  </si>
  <si>
    <t>3.14.</t>
  </si>
  <si>
    <t>- Расходы по содержанию автотранспорта</t>
  </si>
  <si>
    <t>3.15.</t>
  </si>
  <si>
    <t>- Лицензии, госпошлины, разрешения</t>
  </si>
  <si>
    <t>3.16.</t>
  </si>
  <si>
    <t xml:space="preserve">- Аренда офиса </t>
  </si>
  <si>
    <t>3.17.</t>
  </si>
  <si>
    <t xml:space="preserve">- Покупки в офис </t>
  </si>
  <si>
    <t>3.18.</t>
  </si>
  <si>
    <t>- Коммунальные офисные расходы</t>
  </si>
  <si>
    <t>3.19.</t>
  </si>
  <si>
    <t>- Возвраты клиентам</t>
  </si>
  <si>
    <t>3.20.</t>
  </si>
  <si>
    <t>- Транспортные услуги</t>
  </si>
  <si>
    <t>3.21.</t>
  </si>
  <si>
    <t>- Сайты (разработка и обслуживание)</t>
  </si>
  <si>
    <t>3.22.</t>
  </si>
  <si>
    <t>- Вознаграждение инвестора</t>
  </si>
  <si>
    <t>3.23.</t>
  </si>
  <si>
    <t>- Оффлайн мероприятия</t>
  </si>
  <si>
    <t>4.</t>
  </si>
  <si>
    <t>Валовая Прибыль</t>
  </si>
  <si>
    <t>5.</t>
  </si>
  <si>
    <t xml:space="preserve">Рентабельность </t>
  </si>
  <si>
    <t>6.</t>
  </si>
  <si>
    <t>ROI на вложенные средства, в месяц</t>
  </si>
  <si>
    <t>7.</t>
  </si>
  <si>
    <t>ПЛАНИРУЕМЫЙ  ROI на ГОД</t>
  </si>
  <si>
    <t>8.</t>
  </si>
  <si>
    <t xml:space="preserve">Вложенные средства на объекты </t>
  </si>
  <si>
    <t>Чака</t>
  </si>
  <si>
    <t>Матиса</t>
  </si>
  <si>
    <t>Эспорта</t>
  </si>
  <si>
    <t>Коммерческие помещения LV без Матиса и Эспорта</t>
  </si>
  <si>
    <t>Коммерческие помещения LV все</t>
  </si>
  <si>
    <t xml:space="preserve">Estate LV </t>
  </si>
  <si>
    <t>1.3.</t>
  </si>
  <si>
    <t>Estate EU</t>
  </si>
  <si>
    <t>Estate AZE (Estate East, Алярбекова)</t>
  </si>
  <si>
    <t>Estate AZE (Baku Revelton)</t>
  </si>
  <si>
    <t>Estate East</t>
  </si>
  <si>
    <t xml:space="preserve">ESTATE КОНСОЛИДИРОВАННЫЙ </t>
  </si>
  <si>
    <t>Estate LV</t>
  </si>
  <si>
    <t>1.4.</t>
  </si>
  <si>
    <t>Estate AZE (Baku Rеvelton)</t>
  </si>
  <si>
    <t>2.7.</t>
  </si>
  <si>
    <t>УК</t>
  </si>
  <si>
    <t>Комментарии</t>
  </si>
  <si>
    <t>КОНТРОЛЬ:</t>
  </si>
  <si>
    <t>Выручка</t>
  </si>
  <si>
    <t>Валовая прибыль</t>
  </si>
  <si>
    <t xml:space="preserve">ВыручкаАнтонияс </t>
  </si>
  <si>
    <t>ВыручкаЧака</t>
  </si>
  <si>
    <t>ВыручкаКоммерческие помещения</t>
  </si>
  <si>
    <t>План-факт месяца (H - F)</t>
  </si>
  <si>
    <t>% выполнения плана (L/F*100)</t>
  </si>
  <si>
    <t>Рост/снижение к предыдущему месяцу (H - C)</t>
  </si>
  <si>
    <t>% роста (N/C*100)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</si>
</sst>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m\ yyyy;@"/>
    <numFmt numFmtId="165" formatCode="[$€]#,##0"/>
    <numFmt numFmtId="166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0"/>
      <name val="Calibri"/>
      <family val="2"/>
      <charset val="204"/>
    </font>
    <font>
      <i/>
      <sz val="9"/>
      <name val="Arial"/>
      <family val="2"/>
      <charset val="204"/>
    </font>
    <font>
      <i/>
      <sz val="10"/>
      <name val="Calibri"/>
      <family val="2"/>
      <charset val="204"/>
    </font>
    <font>
      <i/>
      <sz val="9"/>
      <name val="Calibri"/>
      <family val="2"/>
      <charset val="204"/>
    </font>
    <font>
      <b/>
      <sz val="11"/>
      <name val="Calibri"/>
      <family val="2"/>
      <charset val="204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</font>
    <font>
      <b/>
      <sz val="10"/>
      <color theme="1"/>
      <name val="Arial"/>
      <family val="2"/>
      <charset val="204"/>
    </font>
    <font>
      <b/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  <xf numFmtId="3" fontId="5" fillId="3" borderId="1" xfId="0" applyNumberFormat="1" applyFont="1" applyFill="1" applyBorder="1" applyAlignment="1">
      <alignment horizontal="center" wrapText="1"/>
    </xf>
    <xf numFmtId="3" fontId="6" fillId="7" borderId="0" xfId="0" applyNumberFormat="1" applyFont="1" applyFill="1" applyAlignment="1">
      <alignment horizontal="center"/>
    </xf>
    <xf numFmtId="49" fontId="10" fillId="0" borderId="2" xfId="0" applyNumberFormat="1" applyFont="1" applyBorder="1" applyAlignment="1">
      <alignment wrapText="1"/>
    </xf>
    <xf numFmtId="49" fontId="8" fillId="0" borderId="2" xfId="0" applyNumberFormat="1" applyFont="1" applyBorder="1" applyAlignment="1">
      <alignment wrapText="1"/>
    </xf>
    <xf numFmtId="49" fontId="12" fillId="0" borderId="2" xfId="0" applyNumberFormat="1" applyFont="1" applyBorder="1" applyAlignment="1">
      <alignment wrapText="1"/>
    </xf>
    <xf numFmtId="49" fontId="13" fillId="0" borderId="2" xfId="0" applyNumberFormat="1" applyFont="1" applyBorder="1" applyAlignment="1">
      <alignment wrapText="1"/>
    </xf>
    <xf numFmtId="49" fontId="14" fillId="0" borderId="2" xfId="0" applyNumberFormat="1" applyFont="1" applyBorder="1" applyAlignment="1">
      <alignment wrapText="1"/>
    </xf>
    <xf numFmtId="49" fontId="15" fillId="0" borderId="2" xfId="0" applyNumberFormat="1" applyFont="1" applyBorder="1" applyAlignment="1">
      <alignment wrapText="1"/>
    </xf>
    <xf numFmtId="49" fontId="16" fillId="0" borderId="2" xfId="0" applyNumberFormat="1" applyFont="1" applyBorder="1" applyAlignment="1">
      <alignment wrapText="1"/>
    </xf>
    <xf numFmtId="49" fontId="10" fillId="7" borderId="3" xfId="0" applyNumberFormat="1" applyFont="1" applyFill="1" applyBorder="1" applyAlignment="1">
      <alignment wrapText="1"/>
    </xf>
    <xf numFmtId="49" fontId="11" fillId="0" borderId="0" xfId="0" applyNumberFormat="1" applyFont="1" applyAlignment="1">
      <alignment wrapText="1"/>
    </xf>
    <xf numFmtId="0" fontId="17" fillId="0" borderId="1" xfId="0" applyFont="1" applyBorder="1" applyAlignment="1">
      <alignment wrapText="1"/>
    </xf>
    <xf numFmtId="49" fontId="18" fillId="0" borderId="2" xfId="0" applyNumberFormat="1" applyFont="1" applyBorder="1" applyAlignment="1">
      <alignment wrapText="1"/>
    </xf>
    <xf numFmtId="0" fontId="21" fillId="0" borderId="0" xfId="0" applyFont="1"/>
    <xf numFmtId="16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22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19" fillId="0" borderId="1" xfId="0" applyFont="1" applyBorder="1" applyAlignment="1">
      <alignment wrapText="1"/>
    </xf>
    <xf numFmtId="49" fontId="23" fillId="0" borderId="2" xfId="0" applyNumberFormat="1" applyFont="1" applyBorder="1" applyAlignment="1">
      <alignment wrapText="1"/>
    </xf>
    <xf numFmtId="3" fontId="17" fillId="0" borderId="1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 wrapText="1"/>
    </xf>
    <xf numFmtId="3" fontId="3" fillId="6" borderId="1" xfId="0" applyNumberFormat="1" applyFont="1" applyFill="1" applyBorder="1" applyAlignment="1">
      <alignment horizontal="center" wrapText="1"/>
    </xf>
    <xf numFmtId="3" fontId="5" fillId="6" borderId="1" xfId="0" applyNumberFormat="1" applyFont="1" applyFill="1" applyBorder="1" applyAlignment="1">
      <alignment horizontal="center" wrapText="1"/>
    </xf>
    <xf numFmtId="3" fontId="6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6" fontId="2" fillId="0" borderId="1" xfId="0" applyNumberFormat="1" applyFont="1" applyBorder="1"/>
    <xf numFmtId="0" fontId="7" fillId="0" borderId="1" xfId="0" applyFont="1" applyBorder="1" applyAlignment="1">
      <alignment wrapText="1"/>
    </xf>
    <xf numFmtId="0" fontId="17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1" fillId="0" borderId="1" xfId="0" applyFont="1" applyBorder="1"/>
    <xf numFmtId="3" fontId="19" fillId="3" borderId="1" xfId="0" applyNumberFormat="1" applyFont="1" applyFill="1" applyBorder="1" applyAlignment="1">
      <alignment horizontal="center" wrapText="1"/>
    </xf>
    <xf numFmtId="3" fontId="19" fillId="6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4" fontId="5" fillId="3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3" fontId="19" fillId="6" borderId="1" xfId="0" applyNumberFormat="1" applyFont="1" applyFill="1" applyBorder="1" applyAlignment="1">
      <alignment horizontal="center" wrapText="1"/>
    </xf>
    <xf numFmtId="3" fontId="19" fillId="3" borderId="1" xfId="0" applyNumberFormat="1" applyFont="1" applyFill="1" applyBorder="1" applyAlignment="1">
      <alignment horizont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166" fontId="19" fillId="3" borderId="1" xfId="0" applyNumberFormat="1" applyFont="1" applyFill="1" applyBorder="1" applyAlignment="1">
      <alignment horizontal="center" wrapText="1"/>
    </xf>
    <xf numFmtId="166" fontId="3" fillId="3" borderId="1" xfId="0" applyNumberFormat="1" applyFont="1" applyFill="1" applyBorder="1" applyAlignment="1">
      <alignment horizontal="center" wrapText="1"/>
    </xf>
    <xf numFmtId="166" fontId="5" fillId="3" borderId="1" xfId="0" applyNumberFormat="1" applyFont="1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66" fontId="4" fillId="5" borderId="1" xfId="0" applyNumberFormat="1" applyFont="1" applyFill="1" applyBorder="1" applyAlignment="1">
      <alignment horizontal="center" vertical="center" wrapText="1"/>
    </xf>
    <xf numFmtId="166" fontId="19" fillId="6" borderId="1" xfId="0" applyNumberFormat="1" applyFont="1" applyFill="1" applyBorder="1" applyAlignment="1">
      <alignment horizontal="center" wrapText="1"/>
    </xf>
    <xf numFmtId="166" fontId="3" fillId="6" borderId="1" xfId="0" applyNumberFormat="1" applyFont="1" applyFill="1" applyBorder="1" applyAlignment="1">
      <alignment horizontal="center" wrapText="1"/>
    </xf>
    <xf numFmtId="166" fontId="20" fillId="6" borderId="1" xfId="0" applyNumberFormat="1" applyFont="1" applyFill="1" applyBorder="1" applyAlignment="1">
      <alignment horizontal="center" wrapText="1"/>
    </xf>
    <xf numFmtId="166" fontId="6" fillId="7" borderId="0" xfId="0" applyNumberFormat="1" applyFont="1" applyFill="1" applyAlignment="1">
      <alignment horizontal="center"/>
    </xf>
    <xf numFmtId="166" fontId="5" fillId="6" borderId="1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21" fillId="7" borderId="1" xfId="0" applyNumberFormat="1" applyFont="1" applyFill="1" applyBorder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166" fontId="24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wrapText="1"/>
    </xf>
    <xf numFmtId="3" fontId="19" fillId="3" borderId="1" xfId="0" applyNumberFormat="1" applyFont="1" applyFill="1" applyBorder="1" applyAlignment="1">
      <alignment horizontal="center" wrapText="1"/>
    </xf>
    <xf numFmtId="3" fontId="19" fillId="6" borderId="1" xfId="0" applyNumberFormat="1" applyFont="1" applyFill="1" applyBorder="1" applyAlignment="1">
      <alignment horizontal="center" wrapText="1"/>
    </xf>
    <xf numFmtId="49" fontId="25" fillId="0" borderId="0" xfId="0" applyNumberFormat="1" applyFont="1" applyAlignment="1">
      <alignment wrapText="1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6" fontId="9" fillId="6" borderId="5" xfId="0" applyNumberFormat="1" applyFont="1" applyFill="1" applyBorder="1" applyAlignment="1">
      <alignment horizontal="center" wrapText="1"/>
    </xf>
    <xf numFmtId="166" fontId="9" fillId="6" borderId="2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6" xfId="0" applyBorder="1"/>
    <xf numFmtId="166" fontId="9" fillId="6" borderId="1" xfId="0" applyNumberFormat="1" applyFont="1" applyFill="1" applyBorder="1" applyAlignment="1">
      <alignment horizontal="center" wrapText="1"/>
    </xf>
    <xf numFmtId="166" fontId="0" fillId="0" borderId="2" xfId="0" applyNumberFormat="1" applyBorder="1"/>
    <xf numFmtId="3" fontId="5" fillId="0" borderId="9" xfId="0" applyNumberFormat="1" applyFont="1" applyBorder="1" applyAlignment="1">
      <alignment horizontal="center"/>
    </xf>
    <xf numFmtId="0" fontId="0" fillId="0" borderId="3" xfId="0" applyBorder="1"/>
    <xf numFmtId="166" fontId="2" fillId="0" borderId="1" xfId="0" applyNumberFormat="1" applyFont="1" applyBorder="1" applyAlignment="1">
      <alignment horizontal="center"/>
    </xf>
    <xf numFmtId="165" fontId="4" fillId="5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165" fontId="4" fillId="0" borderId="1" xfId="0" applyNumberFormat="1" applyFont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horizont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0" fontId="0" fillId="0" borderId="7" xfId="0" applyBorder="1"/>
    <xf numFmtId="3" fontId="9" fillId="6" borderId="1" xfId="0" applyNumberFormat="1" applyFont="1" applyFill="1" applyBorder="1" applyAlignment="1">
      <alignment horizontal="center" wrapText="1"/>
    </xf>
    <xf numFmtId="3" fontId="0" fillId="0" borderId="2" xfId="0" applyNumberFormat="1" applyBorder="1"/>
    <xf numFmtId="3" fontId="19" fillId="0" borderId="1" xfId="0" applyNumberFormat="1" applyFont="1" applyBorder="1" applyAlignment="1">
      <alignment horizont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3" fontId="19" fillId="3" borderId="1" xfId="0" applyNumberFormat="1" applyFont="1" applyFill="1" applyBorder="1" applyAlignment="1">
      <alignment horizontal="center" wrapText="1"/>
    </xf>
    <xf numFmtId="3" fontId="19" fillId="6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3" fontId="9" fillId="6" borderId="5" xfId="0" applyNumberFormat="1" applyFont="1" applyFill="1" applyBorder="1" applyAlignment="1">
      <alignment horizontal="center" wrapText="1"/>
    </xf>
    <xf numFmtId="3" fontId="9" fillId="6" borderId="2" xfId="0" applyNumberFormat="1" applyFont="1" applyFill="1" applyBorder="1" applyAlignment="1">
      <alignment horizontal="center" wrapText="1"/>
    </xf>
    <xf numFmtId="166" fontId="9" fillId="3" borderId="5" xfId="0" applyNumberFormat="1" applyFont="1" applyFill="1" applyBorder="1" applyAlignment="1">
      <alignment horizontal="center" wrapText="1"/>
    </xf>
    <xf numFmtId="166" fontId="9" fillId="3" borderId="2" xfId="0" applyNumberFormat="1" applyFont="1" applyFill="1" applyBorder="1" applyAlignment="1">
      <alignment horizontal="center" wrapText="1"/>
    </xf>
    <xf numFmtId="165" fontId="4" fillId="5" borderId="5" xfId="0" applyNumberFormat="1" applyFont="1" applyFill="1" applyBorder="1" applyAlignment="1">
      <alignment horizontal="center" vertical="center" wrapText="1"/>
    </xf>
    <xf numFmtId="165" fontId="4" fillId="5" borderId="2" xfId="0" applyNumberFormat="1" applyFont="1" applyFill="1" applyBorder="1" applyAlignment="1">
      <alignment horizontal="center" vertical="center" wrapText="1"/>
    </xf>
    <xf numFmtId="3" fontId="5" fillId="0" borderId="10" xfId="0" applyNumberFormat="1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3" fontId="9" fillId="3" borderId="1" xfId="0" applyNumberFormat="1" applyFont="1" applyFill="1" applyBorder="1" applyAlignment="1">
      <alignment horizontal="center" wrapText="1"/>
    </xf>
    <xf numFmtId="165" fontId="4" fillId="4" borderId="11" xfId="0" applyNumberFormat="1" applyFont="1" applyFill="1" applyBorder="1" applyAlignment="1">
      <alignment horizontal="center" vertical="center" wrapText="1"/>
    </xf>
    <xf numFmtId="165" fontId="4" fillId="4" borderId="6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wrapText="1"/>
    </xf>
    <xf numFmtId="3" fontId="9" fillId="0" borderId="2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3" fontId="9" fillId="3" borderId="5" xfId="0" applyNumberFormat="1" applyFont="1" applyFill="1" applyBorder="1" applyAlignment="1">
      <alignment horizontal="center" wrapText="1"/>
    </xf>
    <xf numFmtId="3" fontId="9" fillId="3" borderId="2" xfId="0" applyNumberFormat="1" applyFont="1" applyFill="1" applyBorder="1" applyAlignment="1">
      <alignment horizontal="center" wrapText="1"/>
    </xf>
    <xf numFmtId="164" fontId="24" fillId="8" borderId="1" xfId="0" applyNumberFormat="1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5"/>
  <sheetViews>
    <sheetView tabSelected="1" topLeftCell="A346" zoomScaleNormal="100" workbookViewId="0">
      <selection activeCell="E361" sqref="E361"/>
    </sheetView>
  </sheetViews>
  <sheetFormatPr defaultColWidth="12.6640625" defaultRowHeight="14.4" x14ac:dyDescent="0.3"/>
  <cols>
    <col min="1" max="1" width="6.21875" bestFit="1" customWidth="1"/>
    <col min="2" max="2" width="41.5546875" style="13" customWidth="1"/>
    <col min="3" max="3" width="12.6640625" style="38" customWidth="1"/>
    <col min="4" max="4" width="7.21875" style="48" customWidth="1"/>
    <col min="5" max="5" width="14.33203125" style="38" customWidth="1"/>
    <col min="6" max="6" width="14" style="38" customWidth="1"/>
    <col min="7" max="7" width="10.21875" style="48" bestFit="1" customWidth="1"/>
    <col min="8" max="8" width="12.6640625" style="38" customWidth="1"/>
    <col min="9" max="9" width="13.44140625" style="48" customWidth="1"/>
    <col min="10" max="10" width="14.5546875" style="38" bestFit="1" customWidth="1"/>
    <col min="11" max="11" width="10" style="48" customWidth="1"/>
    <col min="12" max="13" width="15.33203125" customWidth="1"/>
    <col min="14" max="14" width="17.44140625" customWidth="1"/>
    <col min="16" max="16" width="18.21875" customWidth="1"/>
  </cols>
  <sheetData>
    <row r="1" spans="1:16" ht="39.6" x14ac:dyDescent="0.3">
      <c r="A1" s="94" t="s">
        <v>0</v>
      </c>
      <c r="B1" s="85" t="s">
        <v>1</v>
      </c>
      <c r="C1" s="93" t="s">
        <v>2</v>
      </c>
      <c r="D1" s="82"/>
      <c r="E1" s="90" t="s">
        <v>3</v>
      </c>
      <c r="F1" s="81" t="s">
        <v>4</v>
      </c>
      <c r="G1" s="82"/>
      <c r="H1" s="81" t="s">
        <v>5</v>
      </c>
      <c r="I1" s="82"/>
      <c r="J1" s="83" t="s">
        <v>6</v>
      </c>
      <c r="K1" s="82"/>
      <c r="L1" s="61" t="s">
        <v>129</v>
      </c>
      <c r="M1" s="62" t="s">
        <v>130</v>
      </c>
      <c r="N1" s="61" t="s">
        <v>131</v>
      </c>
      <c r="O1" s="62" t="s">
        <v>132</v>
      </c>
      <c r="P1" s="18" t="s">
        <v>122</v>
      </c>
    </row>
    <row r="2" spans="1:16" ht="27.6" x14ac:dyDescent="0.3">
      <c r="A2" s="95"/>
      <c r="B2" s="86"/>
      <c r="C2" s="39">
        <v>46204</v>
      </c>
      <c r="D2" s="44" t="s">
        <v>7</v>
      </c>
      <c r="E2" s="75"/>
      <c r="F2" s="40">
        <v>46235</v>
      </c>
      <c r="G2" s="49" t="s">
        <v>7</v>
      </c>
      <c r="H2" s="40">
        <v>46235</v>
      </c>
      <c r="I2" s="49" t="s">
        <v>7</v>
      </c>
      <c r="J2" s="41">
        <v>46266</v>
      </c>
      <c r="K2" s="55" t="s">
        <v>7</v>
      </c>
      <c r="L2" s="116">
        <f>F2</f>
        <v>46235</v>
      </c>
      <c r="M2" s="117"/>
      <c r="N2" s="116">
        <f>F2</f>
        <v>46235</v>
      </c>
      <c r="O2" s="117"/>
      <c r="P2" s="18"/>
    </row>
    <row r="3" spans="1:16" s="16" customFormat="1" ht="15.6" x14ac:dyDescent="0.3">
      <c r="A3" s="14" t="s">
        <v>8</v>
      </c>
      <c r="B3" s="15" t="s">
        <v>124</v>
      </c>
      <c r="C3" s="36">
        <f>C4+C5</f>
        <v>0</v>
      </c>
      <c r="D3" s="45"/>
      <c r="E3" s="36">
        <f>E4+E5</f>
        <v>0</v>
      </c>
      <c r="F3" s="37">
        <f>F4+F5</f>
        <v>0</v>
      </c>
      <c r="G3" s="50"/>
      <c r="H3" s="37">
        <f>H4+H5</f>
        <v>0</v>
      </c>
      <c r="I3" s="52"/>
      <c r="J3" s="23">
        <f>J4+J5</f>
        <v>0</v>
      </c>
      <c r="K3" s="56"/>
      <c r="L3" s="63">
        <f>H3-F3</f>
        <v>0</v>
      </c>
      <c r="M3" s="64">
        <f>IFERROR(L3/F3,0)</f>
        <v>0</v>
      </c>
      <c r="N3" s="63">
        <f>H3-C3</f>
        <v>0</v>
      </c>
      <c r="O3" s="64">
        <f>IFERROR(N3/C3,0)</f>
        <v>0</v>
      </c>
      <c r="P3" s="19"/>
    </row>
    <row r="4" spans="1:16" ht="15.6" x14ac:dyDescent="0.3">
      <c r="A4" s="2" t="s">
        <v>9</v>
      </c>
      <c r="B4" s="6" t="s">
        <v>10</v>
      </c>
      <c r="C4" s="24"/>
      <c r="D4" s="46"/>
      <c r="E4" s="24"/>
      <c r="F4" s="25"/>
      <c r="G4" s="51"/>
      <c r="H4" s="26"/>
      <c r="I4" s="51"/>
      <c r="J4" s="27"/>
      <c r="K4" s="57"/>
      <c r="L4" s="63">
        <f t="shared" ref="L4:L47" si="0">H4-F4</f>
        <v>0</v>
      </c>
      <c r="M4" s="64">
        <f t="shared" ref="M4:M47" si="1">IFERROR(L4/F4,0)</f>
        <v>0</v>
      </c>
      <c r="N4" s="63">
        <f t="shared" ref="N4:N47" si="2">H4-C4</f>
        <v>0</v>
      </c>
      <c r="O4" s="64">
        <f t="shared" ref="O4:O47" si="3">IFERROR(N4/C4,0)</f>
        <v>0</v>
      </c>
      <c r="P4" s="19"/>
    </row>
    <row r="5" spans="1:16" ht="15.6" x14ac:dyDescent="0.3">
      <c r="A5" s="2" t="s">
        <v>11</v>
      </c>
      <c r="B5" s="6" t="s">
        <v>12</v>
      </c>
      <c r="C5" s="24"/>
      <c r="D5" s="46"/>
      <c r="E5" s="24"/>
      <c r="F5" s="25"/>
      <c r="G5" s="51"/>
      <c r="H5" s="25"/>
      <c r="I5" s="51"/>
      <c r="J5" s="27"/>
      <c r="K5" s="57"/>
      <c r="L5" s="63">
        <f t="shared" si="0"/>
        <v>0</v>
      </c>
      <c r="M5" s="64">
        <f t="shared" si="1"/>
        <v>0</v>
      </c>
      <c r="N5" s="63">
        <f t="shared" si="2"/>
        <v>0</v>
      </c>
      <c r="O5" s="64">
        <f t="shared" si="3"/>
        <v>0</v>
      </c>
      <c r="P5" s="65"/>
    </row>
    <row r="6" spans="1:16" s="16" customFormat="1" ht="15.6" x14ac:dyDescent="0.3">
      <c r="A6" s="14" t="s">
        <v>13</v>
      </c>
      <c r="B6" s="22" t="s">
        <v>14</v>
      </c>
      <c r="C6" s="36">
        <f>C10+C11+C12+C21+C22+C23+C7</f>
        <v>0</v>
      </c>
      <c r="D6" s="45"/>
      <c r="E6" s="36">
        <f>E10+E11+E12+E21+E22+E23+E7</f>
        <v>0</v>
      </c>
      <c r="F6" s="37">
        <f>F10+F11+F12+F21+F22+F23+F7</f>
        <v>0</v>
      </c>
      <c r="G6" s="52"/>
      <c r="H6" s="37">
        <f>H10+H11+H12+H21+H22+H23+H7</f>
        <v>0</v>
      </c>
      <c r="I6" s="52"/>
      <c r="J6" s="23">
        <f>J10+J11+J12+J21+J22+J23+J7</f>
        <v>0</v>
      </c>
      <c r="K6" s="58"/>
      <c r="L6" s="63">
        <f t="shared" si="0"/>
        <v>0</v>
      </c>
      <c r="M6" s="64">
        <f t="shared" si="1"/>
        <v>0</v>
      </c>
      <c r="N6" s="63">
        <f t="shared" si="2"/>
        <v>0</v>
      </c>
      <c r="O6" s="64">
        <f t="shared" si="3"/>
        <v>0</v>
      </c>
      <c r="P6" s="18"/>
    </row>
    <row r="7" spans="1:16" ht="15.6" x14ac:dyDescent="0.3">
      <c r="A7" s="17" t="s">
        <v>15</v>
      </c>
      <c r="B7" s="7" t="s">
        <v>16</v>
      </c>
      <c r="C7" s="24">
        <f>C8+C9</f>
        <v>0</v>
      </c>
      <c r="D7" s="46">
        <f>IFERROR(C7/$C$6,0)</f>
        <v>0</v>
      </c>
      <c r="E7" s="24">
        <f>E9+E8</f>
        <v>0</v>
      </c>
      <c r="F7" s="25">
        <f>F9+F8</f>
        <v>0</v>
      </c>
      <c r="G7" s="51">
        <f>IFERROR(F7/$F$6,0)</f>
        <v>0</v>
      </c>
      <c r="H7" s="25">
        <f>H8+H9</f>
        <v>0</v>
      </c>
      <c r="I7" s="51">
        <f>IFERROR(H7/$H$6,0)</f>
        <v>0</v>
      </c>
      <c r="J7" s="27">
        <f>J8+J9</f>
        <v>0</v>
      </c>
      <c r="K7" s="59">
        <f>IFERROR(J7/$J$6,0)</f>
        <v>0</v>
      </c>
      <c r="L7" s="63">
        <f t="shared" si="0"/>
        <v>0</v>
      </c>
      <c r="M7" s="64">
        <f t="shared" si="1"/>
        <v>0</v>
      </c>
      <c r="N7" s="63">
        <f t="shared" si="2"/>
        <v>0</v>
      </c>
      <c r="O7" s="64">
        <f t="shared" si="3"/>
        <v>0</v>
      </c>
      <c r="P7" s="18"/>
    </row>
    <row r="8" spans="1:16" ht="15.6" x14ac:dyDescent="0.3">
      <c r="A8" s="2" t="s">
        <v>17</v>
      </c>
      <c r="B8" s="8" t="s">
        <v>18</v>
      </c>
      <c r="C8" s="24"/>
      <c r="D8" s="46">
        <f t="shared" ref="D8:D46" si="4">IFERROR(C8/$C$6,0)</f>
        <v>0</v>
      </c>
      <c r="E8" s="24"/>
      <c r="F8" s="25"/>
      <c r="G8" s="51">
        <f t="shared" ref="G8:G46" si="5">IFERROR(F8/$F$6,0)</f>
        <v>0</v>
      </c>
      <c r="H8" s="25"/>
      <c r="I8" s="51">
        <f t="shared" ref="I8:I46" si="6">IFERROR(H8/$H$6,0)</f>
        <v>0</v>
      </c>
      <c r="J8" s="27"/>
      <c r="K8" s="59">
        <f t="shared" ref="K8:K46" si="7">IFERROR(J8/$J$6,0)</f>
        <v>0</v>
      </c>
      <c r="L8" s="63">
        <f t="shared" si="0"/>
        <v>0</v>
      </c>
      <c r="M8" s="64">
        <f t="shared" si="1"/>
        <v>0</v>
      </c>
      <c r="N8" s="63">
        <f t="shared" si="2"/>
        <v>0</v>
      </c>
      <c r="O8" s="64">
        <f t="shared" si="3"/>
        <v>0</v>
      </c>
      <c r="P8" s="18"/>
    </row>
    <row r="9" spans="1:16" ht="15.6" x14ac:dyDescent="0.3">
      <c r="A9" s="18" t="s">
        <v>19</v>
      </c>
      <c r="B9" s="8" t="s">
        <v>20</v>
      </c>
      <c r="C9" s="24"/>
      <c r="D9" s="46">
        <f t="shared" si="4"/>
        <v>0</v>
      </c>
      <c r="E9" s="24"/>
      <c r="F9" s="25"/>
      <c r="G9" s="51">
        <f t="shared" si="5"/>
        <v>0</v>
      </c>
      <c r="H9" s="25"/>
      <c r="I9" s="51">
        <f t="shared" si="6"/>
        <v>0</v>
      </c>
      <c r="J9" s="27"/>
      <c r="K9" s="59">
        <f t="shared" si="7"/>
        <v>0</v>
      </c>
      <c r="L9" s="63">
        <f t="shared" si="0"/>
        <v>0</v>
      </c>
      <c r="M9" s="64">
        <f t="shared" si="1"/>
        <v>0</v>
      </c>
      <c r="N9" s="63">
        <f t="shared" si="2"/>
        <v>0</v>
      </c>
      <c r="O9" s="64">
        <f t="shared" si="3"/>
        <v>0</v>
      </c>
      <c r="P9" s="18"/>
    </row>
    <row r="10" spans="1:16" ht="15.6" x14ac:dyDescent="0.3">
      <c r="A10" s="2" t="s">
        <v>21</v>
      </c>
      <c r="B10" s="7" t="s">
        <v>22</v>
      </c>
      <c r="C10" s="24"/>
      <c r="D10" s="46">
        <f t="shared" si="4"/>
        <v>0</v>
      </c>
      <c r="E10" s="24"/>
      <c r="F10" s="25"/>
      <c r="G10" s="51">
        <f t="shared" si="5"/>
        <v>0</v>
      </c>
      <c r="H10" s="25"/>
      <c r="I10" s="51">
        <f t="shared" si="6"/>
        <v>0</v>
      </c>
      <c r="J10" s="27"/>
      <c r="K10" s="59">
        <f t="shared" si="7"/>
        <v>0</v>
      </c>
      <c r="L10" s="63">
        <f t="shared" si="0"/>
        <v>0</v>
      </c>
      <c r="M10" s="64">
        <f t="shared" si="1"/>
        <v>0</v>
      </c>
      <c r="N10" s="63">
        <f t="shared" si="2"/>
        <v>0</v>
      </c>
      <c r="O10" s="64">
        <f t="shared" si="3"/>
        <v>0</v>
      </c>
      <c r="P10" s="18"/>
    </row>
    <row r="11" spans="1:16" ht="15.6" x14ac:dyDescent="0.3">
      <c r="A11" s="2" t="s">
        <v>23</v>
      </c>
      <c r="B11" s="7" t="s">
        <v>24</v>
      </c>
      <c r="C11" s="24"/>
      <c r="D11" s="46">
        <f t="shared" si="4"/>
        <v>0</v>
      </c>
      <c r="E11" s="24"/>
      <c r="F11" s="25"/>
      <c r="G11" s="51">
        <f t="shared" si="5"/>
        <v>0</v>
      </c>
      <c r="H11" s="25"/>
      <c r="I11" s="51">
        <f t="shared" si="6"/>
        <v>0</v>
      </c>
      <c r="J11" s="27"/>
      <c r="K11" s="59">
        <f t="shared" si="7"/>
        <v>0</v>
      </c>
      <c r="L11" s="63">
        <f t="shared" si="0"/>
        <v>0</v>
      </c>
      <c r="M11" s="64">
        <f t="shared" si="1"/>
        <v>0</v>
      </c>
      <c r="N11" s="63">
        <f t="shared" si="2"/>
        <v>0</v>
      </c>
      <c r="O11" s="64">
        <f t="shared" si="3"/>
        <v>0</v>
      </c>
      <c r="P11" s="18"/>
    </row>
    <row r="12" spans="1:16" ht="15.6" x14ac:dyDescent="0.3">
      <c r="A12" s="2" t="s">
        <v>25</v>
      </c>
      <c r="B12" s="7" t="s">
        <v>26</v>
      </c>
      <c r="C12" s="24">
        <f>SUM(C13:C20)</f>
        <v>0</v>
      </c>
      <c r="D12" s="46">
        <f t="shared" si="4"/>
        <v>0</v>
      </c>
      <c r="E12" s="24">
        <f>SUM(E13:E20)</f>
        <v>0</v>
      </c>
      <c r="F12" s="25">
        <f>SUM(F13:F20)</f>
        <v>0</v>
      </c>
      <c r="G12" s="51">
        <f t="shared" si="5"/>
        <v>0</v>
      </c>
      <c r="H12" s="25">
        <f>SUM(H13:H20)</f>
        <v>0</v>
      </c>
      <c r="I12" s="51">
        <f t="shared" si="6"/>
        <v>0</v>
      </c>
      <c r="J12" s="27">
        <f>SUM(J13:J20)</f>
        <v>0</v>
      </c>
      <c r="K12" s="59">
        <f t="shared" si="7"/>
        <v>0</v>
      </c>
      <c r="L12" s="63">
        <f t="shared" si="0"/>
        <v>0</v>
      </c>
      <c r="M12" s="64">
        <f t="shared" si="1"/>
        <v>0</v>
      </c>
      <c r="N12" s="63">
        <f t="shared" si="2"/>
        <v>0</v>
      </c>
      <c r="O12" s="64">
        <f t="shared" si="3"/>
        <v>0</v>
      </c>
      <c r="P12" s="18"/>
    </row>
    <row r="13" spans="1:16" ht="15.6" x14ac:dyDescent="0.3">
      <c r="A13" s="2" t="s">
        <v>27</v>
      </c>
      <c r="B13" s="9" t="s">
        <v>28</v>
      </c>
      <c r="C13" s="24"/>
      <c r="D13" s="46">
        <f t="shared" si="4"/>
        <v>0</v>
      </c>
      <c r="E13" s="24"/>
      <c r="F13" s="25"/>
      <c r="G13" s="51">
        <f t="shared" si="5"/>
        <v>0</v>
      </c>
      <c r="H13" s="25"/>
      <c r="I13" s="51">
        <f t="shared" si="6"/>
        <v>0</v>
      </c>
      <c r="J13" s="27"/>
      <c r="K13" s="59">
        <f t="shared" si="7"/>
        <v>0</v>
      </c>
      <c r="L13" s="63">
        <f t="shared" si="0"/>
        <v>0</v>
      </c>
      <c r="M13" s="64">
        <f t="shared" si="1"/>
        <v>0</v>
      </c>
      <c r="N13" s="63">
        <f t="shared" si="2"/>
        <v>0</v>
      </c>
      <c r="O13" s="64">
        <f t="shared" si="3"/>
        <v>0</v>
      </c>
      <c r="P13" s="18"/>
    </row>
    <row r="14" spans="1:16" ht="15.6" x14ac:dyDescent="0.3">
      <c r="A14" s="2" t="s">
        <v>29</v>
      </c>
      <c r="B14" s="9" t="s">
        <v>30</v>
      </c>
      <c r="C14" s="24"/>
      <c r="D14" s="46">
        <f t="shared" si="4"/>
        <v>0</v>
      </c>
      <c r="E14" s="24"/>
      <c r="F14" s="25"/>
      <c r="G14" s="51">
        <f t="shared" si="5"/>
        <v>0</v>
      </c>
      <c r="H14" s="25"/>
      <c r="I14" s="51">
        <f t="shared" si="6"/>
        <v>0</v>
      </c>
      <c r="J14" s="27"/>
      <c r="K14" s="59">
        <f t="shared" si="7"/>
        <v>0</v>
      </c>
      <c r="L14" s="63">
        <f t="shared" si="0"/>
        <v>0</v>
      </c>
      <c r="M14" s="64">
        <f t="shared" si="1"/>
        <v>0</v>
      </c>
      <c r="N14" s="63">
        <f t="shared" si="2"/>
        <v>0</v>
      </c>
      <c r="O14" s="64">
        <f t="shared" si="3"/>
        <v>0</v>
      </c>
      <c r="P14" s="18"/>
    </row>
    <row r="15" spans="1:16" ht="15.6" x14ac:dyDescent="0.3">
      <c r="A15" s="2" t="s">
        <v>31</v>
      </c>
      <c r="B15" s="9" t="s">
        <v>32</v>
      </c>
      <c r="C15" s="24"/>
      <c r="D15" s="46">
        <f t="shared" si="4"/>
        <v>0</v>
      </c>
      <c r="E15" s="24"/>
      <c r="F15" s="25"/>
      <c r="G15" s="51">
        <f t="shared" si="5"/>
        <v>0</v>
      </c>
      <c r="H15" s="25"/>
      <c r="I15" s="51">
        <f t="shared" si="6"/>
        <v>0</v>
      </c>
      <c r="J15" s="27"/>
      <c r="K15" s="59">
        <f t="shared" si="7"/>
        <v>0</v>
      </c>
      <c r="L15" s="63">
        <f t="shared" si="0"/>
        <v>0</v>
      </c>
      <c r="M15" s="64">
        <f t="shared" si="1"/>
        <v>0</v>
      </c>
      <c r="N15" s="63">
        <f t="shared" si="2"/>
        <v>0</v>
      </c>
      <c r="O15" s="64">
        <f t="shared" si="3"/>
        <v>0</v>
      </c>
      <c r="P15" s="18"/>
    </row>
    <row r="16" spans="1:16" ht="15.6" x14ac:dyDescent="0.3">
      <c r="A16" s="2" t="s">
        <v>33</v>
      </c>
      <c r="B16" s="9" t="s">
        <v>34</v>
      </c>
      <c r="C16" s="24"/>
      <c r="D16" s="46">
        <f t="shared" si="4"/>
        <v>0</v>
      </c>
      <c r="E16" s="24"/>
      <c r="F16" s="25"/>
      <c r="G16" s="51">
        <f t="shared" si="5"/>
        <v>0</v>
      </c>
      <c r="H16" s="25"/>
      <c r="I16" s="51">
        <f t="shared" si="6"/>
        <v>0</v>
      </c>
      <c r="J16" s="27"/>
      <c r="K16" s="59">
        <f t="shared" si="7"/>
        <v>0</v>
      </c>
      <c r="L16" s="63">
        <f t="shared" si="0"/>
        <v>0</v>
      </c>
      <c r="M16" s="64">
        <f t="shared" si="1"/>
        <v>0</v>
      </c>
      <c r="N16" s="63">
        <f t="shared" si="2"/>
        <v>0</v>
      </c>
      <c r="O16" s="64">
        <f t="shared" si="3"/>
        <v>0</v>
      </c>
      <c r="P16" s="18"/>
    </row>
    <row r="17" spans="1:16" ht="15.6" x14ac:dyDescent="0.3">
      <c r="A17" s="2" t="s">
        <v>35</v>
      </c>
      <c r="B17" s="9" t="s">
        <v>36</v>
      </c>
      <c r="C17" s="24"/>
      <c r="D17" s="46">
        <f t="shared" si="4"/>
        <v>0</v>
      </c>
      <c r="E17" s="24"/>
      <c r="F17" s="25"/>
      <c r="G17" s="51">
        <f t="shared" si="5"/>
        <v>0</v>
      </c>
      <c r="H17" s="25"/>
      <c r="I17" s="51">
        <f t="shared" si="6"/>
        <v>0</v>
      </c>
      <c r="J17" s="27"/>
      <c r="K17" s="59">
        <f t="shared" si="7"/>
        <v>0</v>
      </c>
      <c r="L17" s="63">
        <f t="shared" si="0"/>
        <v>0</v>
      </c>
      <c r="M17" s="64">
        <f t="shared" si="1"/>
        <v>0</v>
      </c>
      <c r="N17" s="63">
        <f t="shared" si="2"/>
        <v>0</v>
      </c>
      <c r="O17" s="64">
        <f t="shared" si="3"/>
        <v>0</v>
      </c>
      <c r="P17" s="18"/>
    </row>
    <row r="18" spans="1:16" ht="27.6" x14ac:dyDescent="0.3">
      <c r="A18" s="2" t="s">
        <v>37</v>
      </c>
      <c r="B18" s="9" t="s">
        <v>38</v>
      </c>
      <c r="C18" s="24"/>
      <c r="D18" s="46">
        <f t="shared" si="4"/>
        <v>0</v>
      </c>
      <c r="E18" s="24"/>
      <c r="F18" s="25"/>
      <c r="G18" s="51">
        <f t="shared" si="5"/>
        <v>0</v>
      </c>
      <c r="H18" s="25"/>
      <c r="I18" s="51">
        <f t="shared" si="6"/>
        <v>0</v>
      </c>
      <c r="J18" s="27"/>
      <c r="K18" s="59">
        <f t="shared" si="7"/>
        <v>0</v>
      </c>
      <c r="L18" s="63">
        <f t="shared" si="0"/>
        <v>0</v>
      </c>
      <c r="M18" s="64">
        <f t="shared" si="1"/>
        <v>0</v>
      </c>
      <c r="N18" s="63">
        <f t="shared" si="2"/>
        <v>0</v>
      </c>
      <c r="O18" s="64">
        <f t="shared" si="3"/>
        <v>0</v>
      </c>
      <c r="P18" s="18"/>
    </row>
    <row r="19" spans="1:16" ht="15.6" x14ac:dyDescent="0.3">
      <c r="A19" s="2" t="s">
        <v>39</v>
      </c>
      <c r="B19" s="9" t="s">
        <v>40</v>
      </c>
      <c r="C19" s="24"/>
      <c r="D19" s="46">
        <f t="shared" si="4"/>
        <v>0</v>
      </c>
      <c r="E19" s="24"/>
      <c r="F19" s="25"/>
      <c r="G19" s="51">
        <f t="shared" si="5"/>
        <v>0</v>
      </c>
      <c r="H19" s="25"/>
      <c r="I19" s="51">
        <f t="shared" si="6"/>
        <v>0</v>
      </c>
      <c r="J19" s="27"/>
      <c r="K19" s="59">
        <f t="shared" si="7"/>
        <v>0</v>
      </c>
      <c r="L19" s="63">
        <f t="shared" si="0"/>
        <v>0</v>
      </c>
      <c r="M19" s="64">
        <f t="shared" si="1"/>
        <v>0</v>
      </c>
      <c r="N19" s="63">
        <f t="shared" si="2"/>
        <v>0</v>
      </c>
      <c r="O19" s="64">
        <f t="shared" si="3"/>
        <v>0</v>
      </c>
      <c r="P19" s="18"/>
    </row>
    <row r="20" spans="1:16" ht="15.6" x14ac:dyDescent="0.3">
      <c r="A20" s="2" t="s">
        <v>41</v>
      </c>
      <c r="B20" s="9" t="s">
        <v>42</v>
      </c>
      <c r="C20" s="24"/>
      <c r="D20" s="46">
        <f t="shared" si="4"/>
        <v>0</v>
      </c>
      <c r="E20" s="24"/>
      <c r="F20" s="25"/>
      <c r="G20" s="51">
        <f t="shared" si="5"/>
        <v>0</v>
      </c>
      <c r="H20" s="25"/>
      <c r="I20" s="51">
        <f t="shared" si="6"/>
        <v>0</v>
      </c>
      <c r="J20" s="27"/>
      <c r="K20" s="59">
        <f t="shared" si="7"/>
        <v>0</v>
      </c>
      <c r="L20" s="63">
        <f t="shared" si="0"/>
        <v>0</v>
      </c>
      <c r="M20" s="64">
        <f t="shared" si="1"/>
        <v>0</v>
      </c>
      <c r="N20" s="63">
        <f t="shared" si="2"/>
        <v>0</v>
      </c>
      <c r="O20" s="64">
        <f t="shared" si="3"/>
        <v>0</v>
      </c>
      <c r="P20" s="18"/>
    </row>
    <row r="21" spans="1:16" ht="15.6" x14ac:dyDescent="0.3">
      <c r="A21" s="2" t="s">
        <v>43</v>
      </c>
      <c r="B21" s="7" t="s">
        <v>44</v>
      </c>
      <c r="C21" s="24"/>
      <c r="D21" s="46">
        <f t="shared" si="4"/>
        <v>0</v>
      </c>
      <c r="E21" s="24"/>
      <c r="F21" s="25"/>
      <c r="G21" s="51">
        <f t="shared" si="5"/>
        <v>0</v>
      </c>
      <c r="H21" s="25"/>
      <c r="I21" s="51">
        <f t="shared" si="6"/>
        <v>0</v>
      </c>
      <c r="J21" s="27"/>
      <c r="K21" s="59">
        <f t="shared" si="7"/>
        <v>0</v>
      </c>
      <c r="L21" s="63">
        <f t="shared" si="0"/>
        <v>0</v>
      </c>
      <c r="M21" s="64">
        <f t="shared" si="1"/>
        <v>0</v>
      </c>
      <c r="N21" s="63">
        <f t="shared" si="2"/>
        <v>0</v>
      </c>
      <c r="O21" s="64">
        <f t="shared" si="3"/>
        <v>0</v>
      </c>
      <c r="P21" s="18"/>
    </row>
    <row r="22" spans="1:16" ht="15.6" x14ac:dyDescent="0.3">
      <c r="A22" s="2" t="s">
        <v>45</v>
      </c>
      <c r="B22" s="7" t="s">
        <v>46</v>
      </c>
      <c r="C22" s="24"/>
      <c r="D22" s="46">
        <f t="shared" si="4"/>
        <v>0</v>
      </c>
      <c r="E22" s="24"/>
      <c r="F22" s="25"/>
      <c r="G22" s="51">
        <f t="shared" si="5"/>
        <v>0</v>
      </c>
      <c r="H22" s="25"/>
      <c r="I22" s="51">
        <f t="shared" si="6"/>
        <v>0</v>
      </c>
      <c r="J22" s="27"/>
      <c r="K22" s="59">
        <f t="shared" si="7"/>
        <v>0</v>
      </c>
      <c r="L22" s="63">
        <f t="shared" si="0"/>
        <v>0</v>
      </c>
      <c r="M22" s="64">
        <f t="shared" si="1"/>
        <v>0</v>
      </c>
      <c r="N22" s="63">
        <f t="shared" si="2"/>
        <v>0</v>
      </c>
      <c r="O22" s="64">
        <f t="shared" si="3"/>
        <v>0</v>
      </c>
      <c r="P22" s="18"/>
    </row>
    <row r="23" spans="1:16" s="16" customFormat="1" ht="15.6" x14ac:dyDescent="0.3">
      <c r="A23" s="14" t="s">
        <v>47</v>
      </c>
      <c r="B23" s="22" t="s">
        <v>48</v>
      </c>
      <c r="C23" s="36">
        <f>SUM(C24:C46)</f>
        <v>0</v>
      </c>
      <c r="D23" s="46">
        <f t="shared" si="4"/>
        <v>0</v>
      </c>
      <c r="E23" s="36">
        <f>SUM(E24:E46)</f>
        <v>0</v>
      </c>
      <c r="F23" s="37">
        <f>SUM(F24:F46)</f>
        <v>0</v>
      </c>
      <c r="G23" s="51">
        <f t="shared" si="5"/>
        <v>0</v>
      </c>
      <c r="H23" s="37">
        <f>SUM(H24:H46)</f>
        <v>0</v>
      </c>
      <c r="I23" s="51">
        <f t="shared" si="6"/>
        <v>0</v>
      </c>
      <c r="J23" s="23">
        <f>SUM(J24:J46)</f>
        <v>0</v>
      </c>
      <c r="K23" s="59">
        <f t="shared" si="7"/>
        <v>0</v>
      </c>
      <c r="L23" s="63">
        <f t="shared" si="0"/>
        <v>0</v>
      </c>
      <c r="M23" s="64">
        <f t="shared" si="1"/>
        <v>0</v>
      </c>
      <c r="N23" s="63">
        <f t="shared" si="2"/>
        <v>0</v>
      </c>
      <c r="O23" s="64">
        <f t="shared" si="3"/>
        <v>0</v>
      </c>
      <c r="P23" s="18"/>
    </row>
    <row r="24" spans="1:16" ht="15.6" x14ac:dyDescent="0.3">
      <c r="A24" s="2" t="s">
        <v>49</v>
      </c>
      <c r="B24" s="10" t="s">
        <v>50</v>
      </c>
      <c r="C24" s="29"/>
      <c r="D24" s="46">
        <f t="shared" si="4"/>
        <v>0</v>
      </c>
      <c r="E24" s="24"/>
      <c r="F24" s="25"/>
      <c r="G24" s="51">
        <f t="shared" si="5"/>
        <v>0</v>
      </c>
      <c r="H24" s="25"/>
      <c r="I24" s="51">
        <f t="shared" si="6"/>
        <v>0</v>
      </c>
      <c r="J24" s="27"/>
      <c r="K24" s="59">
        <f t="shared" si="7"/>
        <v>0</v>
      </c>
      <c r="L24" s="63">
        <f t="shared" si="0"/>
        <v>0</v>
      </c>
      <c r="M24" s="64">
        <f t="shared" si="1"/>
        <v>0</v>
      </c>
      <c r="N24" s="63">
        <f t="shared" si="2"/>
        <v>0</v>
      </c>
      <c r="O24" s="64">
        <f t="shared" si="3"/>
        <v>0</v>
      </c>
      <c r="P24" s="18"/>
    </row>
    <row r="25" spans="1:16" ht="15.6" x14ac:dyDescent="0.3">
      <c r="A25" s="2" t="s">
        <v>51</v>
      </c>
      <c r="B25" s="10" t="s">
        <v>52</v>
      </c>
      <c r="C25" s="24"/>
      <c r="D25" s="46">
        <f t="shared" si="4"/>
        <v>0</v>
      </c>
      <c r="E25" s="24"/>
      <c r="F25" s="25"/>
      <c r="G25" s="51">
        <f t="shared" si="5"/>
        <v>0</v>
      </c>
      <c r="H25" s="25"/>
      <c r="I25" s="51">
        <f t="shared" si="6"/>
        <v>0</v>
      </c>
      <c r="J25" s="27"/>
      <c r="K25" s="59">
        <f t="shared" si="7"/>
        <v>0</v>
      </c>
      <c r="L25" s="63">
        <f t="shared" si="0"/>
        <v>0</v>
      </c>
      <c r="M25" s="64">
        <f t="shared" si="1"/>
        <v>0</v>
      </c>
      <c r="N25" s="63">
        <f t="shared" si="2"/>
        <v>0</v>
      </c>
      <c r="O25" s="64">
        <f t="shared" si="3"/>
        <v>0</v>
      </c>
      <c r="P25" s="18"/>
    </row>
    <row r="26" spans="1:16" ht="15.6" x14ac:dyDescent="0.3">
      <c r="A26" s="2" t="s">
        <v>53</v>
      </c>
      <c r="B26" s="10" t="s">
        <v>54</v>
      </c>
      <c r="C26" s="24"/>
      <c r="D26" s="46">
        <f t="shared" si="4"/>
        <v>0</v>
      </c>
      <c r="E26" s="24"/>
      <c r="F26" s="25"/>
      <c r="G26" s="51">
        <f t="shared" si="5"/>
        <v>0</v>
      </c>
      <c r="H26" s="25"/>
      <c r="I26" s="51">
        <f t="shared" si="6"/>
        <v>0</v>
      </c>
      <c r="J26" s="27"/>
      <c r="K26" s="59">
        <f t="shared" si="7"/>
        <v>0</v>
      </c>
      <c r="L26" s="63">
        <f t="shared" si="0"/>
        <v>0</v>
      </c>
      <c r="M26" s="64">
        <f t="shared" si="1"/>
        <v>0</v>
      </c>
      <c r="N26" s="63">
        <f t="shared" si="2"/>
        <v>0</v>
      </c>
      <c r="O26" s="64">
        <f t="shared" si="3"/>
        <v>0</v>
      </c>
      <c r="P26" s="18"/>
    </row>
    <row r="27" spans="1:16" ht="15.6" x14ac:dyDescent="0.3">
      <c r="A27" s="2" t="s">
        <v>55</v>
      </c>
      <c r="B27" s="10" t="s">
        <v>56</v>
      </c>
      <c r="C27" s="24"/>
      <c r="D27" s="46">
        <f t="shared" si="4"/>
        <v>0</v>
      </c>
      <c r="E27" s="24"/>
      <c r="F27" s="25"/>
      <c r="G27" s="51">
        <f t="shared" si="5"/>
        <v>0</v>
      </c>
      <c r="H27" s="25"/>
      <c r="I27" s="51">
        <f t="shared" si="6"/>
        <v>0</v>
      </c>
      <c r="J27" s="27"/>
      <c r="K27" s="59">
        <f t="shared" si="7"/>
        <v>0</v>
      </c>
      <c r="L27" s="63">
        <f t="shared" si="0"/>
        <v>0</v>
      </c>
      <c r="M27" s="64">
        <f t="shared" si="1"/>
        <v>0</v>
      </c>
      <c r="N27" s="63">
        <f t="shared" si="2"/>
        <v>0</v>
      </c>
      <c r="O27" s="64">
        <f t="shared" si="3"/>
        <v>0</v>
      </c>
      <c r="P27" s="18"/>
    </row>
    <row r="28" spans="1:16" ht="15.6" x14ac:dyDescent="0.3">
      <c r="A28" s="2" t="s">
        <v>57</v>
      </c>
      <c r="B28" s="10" t="s">
        <v>58</v>
      </c>
      <c r="C28" s="29"/>
      <c r="D28" s="46">
        <f t="shared" si="4"/>
        <v>0</v>
      </c>
      <c r="E28" s="24"/>
      <c r="F28" s="25"/>
      <c r="G28" s="51">
        <f t="shared" si="5"/>
        <v>0</v>
      </c>
      <c r="H28" s="25"/>
      <c r="I28" s="51">
        <f t="shared" si="6"/>
        <v>0</v>
      </c>
      <c r="J28" s="27"/>
      <c r="K28" s="59">
        <f t="shared" si="7"/>
        <v>0</v>
      </c>
      <c r="L28" s="63">
        <f t="shared" si="0"/>
        <v>0</v>
      </c>
      <c r="M28" s="64">
        <f t="shared" si="1"/>
        <v>0</v>
      </c>
      <c r="N28" s="63">
        <f t="shared" si="2"/>
        <v>0</v>
      </c>
      <c r="O28" s="64">
        <f t="shared" si="3"/>
        <v>0</v>
      </c>
      <c r="P28" s="18"/>
    </row>
    <row r="29" spans="1:16" ht="15.6" x14ac:dyDescent="0.3">
      <c r="A29" s="2" t="s">
        <v>59</v>
      </c>
      <c r="B29" s="10" t="s">
        <v>60</v>
      </c>
      <c r="C29" s="24"/>
      <c r="D29" s="46">
        <f t="shared" si="4"/>
        <v>0</v>
      </c>
      <c r="E29" s="24"/>
      <c r="F29" s="25"/>
      <c r="G29" s="51">
        <f t="shared" si="5"/>
        <v>0</v>
      </c>
      <c r="H29" s="25"/>
      <c r="I29" s="51">
        <f t="shared" si="6"/>
        <v>0</v>
      </c>
      <c r="J29" s="27"/>
      <c r="K29" s="59">
        <f t="shared" si="7"/>
        <v>0</v>
      </c>
      <c r="L29" s="63">
        <f t="shared" si="0"/>
        <v>0</v>
      </c>
      <c r="M29" s="64">
        <f t="shared" si="1"/>
        <v>0</v>
      </c>
      <c r="N29" s="63">
        <f t="shared" si="2"/>
        <v>0</v>
      </c>
      <c r="O29" s="64">
        <f t="shared" si="3"/>
        <v>0</v>
      </c>
      <c r="P29" s="18"/>
    </row>
    <row r="30" spans="1:16" ht="15.6" x14ac:dyDescent="0.3">
      <c r="A30" s="2" t="s">
        <v>61</v>
      </c>
      <c r="B30" s="10" t="s">
        <v>62</v>
      </c>
      <c r="C30" s="29"/>
      <c r="D30" s="46">
        <f t="shared" si="4"/>
        <v>0</v>
      </c>
      <c r="E30" s="24"/>
      <c r="F30" s="25"/>
      <c r="G30" s="51">
        <f t="shared" si="5"/>
        <v>0</v>
      </c>
      <c r="H30" s="25"/>
      <c r="I30" s="51">
        <f t="shared" si="6"/>
        <v>0</v>
      </c>
      <c r="J30" s="27"/>
      <c r="K30" s="59">
        <f t="shared" si="7"/>
        <v>0</v>
      </c>
      <c r="L30" s="63">
        <f t="shared" si="0"/>
        <v>0</v>
      </c>
      <c r="M30" s="64">
        <f t="shared" si="1"/>
        <v>0</v>
      </c>
      <c r="N30" s="63">
        <f t="shared" si="2"/>
        <v>0</v>
      </c>
      <c r="O30" s="64">
        <f t="shared" si="3"/>
        <v>0</v>
      </c>
      <c r="P30" s="18"/>
    </row>
    <row r="31" spans="1:16" ht="15.6" x14ac:dyDescent="0.3">
      <c r="A31" s="2" t="s">
        <v>63</v>
      </c>
      <c r="B31" s="10" t="s">
        <v>64</v>
      </c>
      <c r="C31" s="24"/>
      <c r="D31" s="46">
        <f t="shared" si="4"/>
        <v>0</v>
      </c>
      <c r="E31" s="24"/>
      <c r="F31" s="25"/>
      <c r="G31" s="51">
        <f t="shared" si="5"/>
        <v>0</v>
      </c>
      <c r="H31" s="25"/>
      <c r="I31" s="51">
        <f t="shared" si="6"/>
        <v>0</v>
      </c>
      <c r="J31" s="27"/>
      <c r="K31" s="59">
        <f t="shared" si="7"/>
        <v>0</v>
      </c>
      <c r="L31" s="63">
        <f t="shared" si="0"/>
        <v>0</v>
      </c>
      <c r="M31" s="64">
        <f t="shared" si="1"/>
        <v>0</v>
      </c>
      <c r="N31" s="63">
        <f t="shared" si="2"/>
        <v>0</v>
      </c>
      <c r="O31" s="64">
        <f t="shared" si="3"/>
        <v>0</v>
      </c>
      <c r="P31" s="18"/>
    </row>
    <row r="32" spans="1:16" ht="15.6" x14ac:dyDescent="0.3">
      <c r="A32" s="2" t="s">
        <v>65</v>
      </c>
      <c r="B32" s="10" t="s">
        <v>66</v>
      </c>
      <c r="C32" s="29"/>
      <c r="D32" s="46">
        <f t="shared" si="4"/>
        <v>0</v>
      </c>
      <c r="E32" s="24"/>
      <c r="F32" s="25"/>
      <c r="G32" s="51">
        <f t="shared" si="5"/>
        <v>0</v>
      </c>
      <c r="H32" s="25"/>
      <c r="I32" s="51">
        <f t="shared" si="6"/>
        <v>0</v>
      </c>
      <c r="J32" s="27"/>
      <c r="K32" s="59">
        <f t="shared" si="7"/>
        <v>0</v>
      </c>
      <c r="L32" s="63">
        <f t="shared" si="0"/>
        <v>0</v>
      </c>
      <c r="M32" s="64">
        <f t="shared" si="1"/>
        <v>0</v>
      </c>
      <c r="N32" s="63">
        <f t="shared" si="2"/>
        <v>0</v>
      </c>
      <c r="O32" s="64">
        <f t="shared" si="3"/>
        <v>0</v>
      </c>
      <c r="P32" s="18"/>
    </row>
    <row r="33" spans="1:16" ht="15.6" x14ac:dyDescent="0.3">
      <c r="A33" s="2" t="s">
        <v>67</v>
      </c>
      <c r="B33" s="10" t="s">
        <v>68</v>
      </c>
      <c r="C33" s="29"/>
      <c r="D33" s="46">
        <f t="shared" si="4"/>
        <v>0</v>
      </c>
      <c r="E33" s="24"/>
      <c r="F33" s="25"/>
      <c r="G33" s="51">
        <f t="shared" si="5"/>
        <v>0</v>
      </c>
      <c r="H33" s="25"/>
      <c r="I33" s="51">
        <f t="shared" si="6"/>
        <v>0</v>
      </c>
      <c r="J33" s="27"/>
      <c r="K33" s="59">
        <f t="shared" si="7"/>
        <v>0</v>
      </c>
      <c r="L33" s="63">
        <f t="shared" si="0"/>
        <v>0</v>
      </c>
      <c r="M33" s="64">
        <f t="shared" si="1"/>
        <v>0</v>
      </c>
      <c r="N33" s="63">
        <f t="shared" si="2"/>
        <v>0</v>
      </c>
      <c r="O33" s="64">
        <f t="shared" si="3"/>
        <v>0</v>
      </c>
      <c r="P33" s="18"/>
    </row>
    <row r="34" spans="1:16" ht="15.6" x14ac:dyDescent="0.3">
      <c r="A34" s="2" t="s">
        <v>69</v>
      </c>
      <c r="B34" s="10" t="s">
        <v>70</v>
      </c>
      <c r="C34" s="29"/>
      <c r="D34" s="46">
        <f t="shared" si="4"/>
        <v>0</v>
      </c>
      <c r="E34" s="24"/>
      <c r="F34" s="25"/>
      <c r="G34" s="51">
        <f t="shared" si="5"/>
        <v>0</v>
      </c>
      <c r="H34" s="25"/>
      <c r="I34" s="51">
        <f t="shared" si="6"/>
        <v>0</v>
      </c>
      <c r="J34" s="27"/>
      <c r="K34" s="59">
        <f t="shared" si="7"/>
        <v>0</v>
      </c>
      <c r="L34" s="63">
        <f t="shared" si="0"/>
        <v>0</v>
      </c>
      <c r="M34" s="64">
        <f t="shared" si="1"/>
        <v>0</v>
      </c>
      <c r="N34" s="63">
        <f t="shared" si="2"/>
        <v>0</v>
      </c>
      <c r="O34" s="64">
        <f t="shared" si="3"/>
        <v>0</v>
      </c>
      <c r="P34" s="18"/>
    </row>
    <row r="35" spans="1:16" ht="15.6" x14ac:dyDescent="0.3">
      <c r="A35" s="20" t="s">
        <v>71</v>
      </c>
      <c r="B35" s="10" t="s">
        <v>72</v>
      </c>
      <c r="C35" s="29"/>
      <c r="D35" s="46">
        <f t="shared" si="4"/>
        <v>0</v>
      </c>
      <c r="E35" s="24"/>
      <c r="F35" s="25"/>
      <c r="G35" s="51">
        <f t="shared" si="5"/>
        <v>0</v>
      </c>
      <c r="H35" s="25"/>
      <c r="I35" s="51">
        <f t="shared" si="6"/>
        <v>0</v>
      </c>
      <c r="J35" s="27"/>
      <c r="K35" s="59">
        <f t="shared" si="7"/>
        <v>0</v>
      </c>
      <c r="L35" s="63">
        <f t="shared" si="0"/>
        <v>0</v>
      </c>
      <c r="M35" s="64">
        <f t="shared" si="1"/>
        <v>0</v>
      </c>
      <c r="N35" s="63">
        <f t="shared" si="2"/>
        <v>0</v>
      </c>
      <c r="O35" s="64">
        <f t="shared" si="3"/>
        <v>0</v>
      </c>
      <c r="P35" s="18"/>
    </row>
    <row r="36" spans="1:16" ht="15.6" x14ac:dyDescent="0.3">
      <c r="A36" s="2" t="s">
        <v>73</v>
      </c>
      <c r="B36" s="10" t="s">
        <v>74</v>
      </c>
      <c r="C36" s="24"/>
      <c r="D36" s="46">
        <f t="shared" si="4"/>
        <v>0</v>
      </c>
      <c r="E36" s="24"/>
      <c r="F36" s="25"/>
      <c r="G36" s="51">
        <f t="shared" si="5"/>
        <v>0</v>
      </c>
      <c r="H36" s="25"/>
      <c r="I36" s="51">
        <f t="shared" si="6"/>
        <v>0</v>
      </c>
      <c r="J36" s="27"/>
      <c r="K36" s="59">
        <f t="shared" si="7"/>
        <v>0</v>
      </c>
      <c r="L36" s="63">
        <f t="shared" si="0"/>
        <v>0</v>
      </c>
      <c r="M36" s="64">
        <f t="shared" si="1"/>
        <v>0</v>
      </c>
      <c r="N36" s="63">
        <f t="shared" si="2"/>
        <v>0</v>
      </c>
      <c r="O36" s="64">
        <f t="shared" si="3"/>
        <v>0</v>
      </c>
      <c r="P36" s="18"/>
    </row>
    <row r="37" spans="1:16" ht="15.6" x14ac:dyDescent="0.3">
      <c r="A37" s="18" t="s">
        <v>75</v>
      </c>
      <c r="B37" s="10" t="s">
        <v>76</v>
      </c>
      <c r="C37" s="29"/>
      <c r="D37" s="46">
        <f t="shared" si="4"/>
        <v>0</v>
      </c>
      <c r="E37" s="24"/>
      <c r="F37" s="25"/>
      <c r="G37" s="51">
        <f t="shared" si="5"/>
        <v>0</v>
      </c>
      <c r="H37" s="25"/>
      <c r="I37" s="51">
        <f t="shared" si="6"/>
        <v>0</v>
      </c>
      <c r="J37" s="27"/>
      <c r="K37" s="59">
        <f t="shared" si="7"/>
        <v>0</v>
      </c>
      <c r="L37" s="63">
        <f t="shared" si="0"/>
        <v>0</v>
      </c>
      <c r="M37" s="64">
        <f t="shared" si="1"/>
        <v>0</v>
      </c>
      <c r="N37" s="63">
        <f t="shared" si="2"/>
        <v>0</v>
      </c>
      <c r="O37" s="64">
        <f t="shared" si="3"/>
        <v>0</v>
      </c>
      <c r="P37" s="18"/>
    </row>
    <row r="38" spans="1:16" ht="15.6" x14ac:dyDescent="0.3">
      <c r="A38" s="2" t="s">
        <v>77</v>
      </c>
      <c r="B38" s="10" t="s">
        <v>78</v>
      </c>
      <c r="C38" s="29"/>
      <c r="D38" s="46">
        <f t="shared" si="4"/>
        <v>0</v>
      </c>
      <c r="E38" s="24"/>
      <c r="F38" s="25"/>
      <c r="G38" s="51">
        <f t="shared" si="5"/>
        <v>0</v>
      </c>
      <c r="H38" s="25"/>
      <c r="I38" s="51">
        <f t="shared" si="6"/>
        <v>0</v>
      </c>
      <c r="J38" s="27"/>
      <c r="K38" s="59">
        <f t="shared" si="7"/>
        <v>0</v>
      </c>
      <c r="L38" s="63">
        <f t="shared" si="0"/>
        <v>0</v>
      </c>
      <c r="M38" s="64">
        <f t="shared" si="1"/>
        <v>0</v>
      </c>
      <c r="N38" s="63">
        <f t="shared" si="2"/>
        <v>0</v>
      </c>
      <c r="O38" s="64">
        <f t="shared" si="3"/>
        <v>0</v>
      </c>
      <c r="P38" s="18"/>
    </row>
    <row r="39" spans="1:16" ht="15.6" x14ac:dyDescent="0.3">
      <c r="A39" s="18" t="s">
        <v>79</v>
      </c>
      <c r="B39" s="10" t="s">
        <v>80</v>
      </c>
      <c r="C39" s="24"/>
      <c r="D39" s="46">
        <f t="shared" si="4"/>
        <v>0</v>
      </c>
      <c r="E39" s="24"/>
      <c r="F39" s="25"/>
      <c r="G39" s="51">
        <f t="shared" si="5"/>
        <v>0</v>
      </c>
      <c r="H39" s="25"/>
      <c r="I39" s="51">
        <f t="shared" si="6"/>
        <v>0</v>
      </c>
      <c r="J39" s="27"/>
      <c r="K39" s="59">
        <f t="shared" si="7"/>
        <v>0</v>
      </c>
      <c r="L39" s="63">
        <f t="shared" si="0"/>
        <v>0</v>
      </c>
      <c r="M39" s="64">
        <f t="shared" si="1"/>
        <v>0</v>
      </c>
      <c r="N39" s="63">
        <f t="shared" si="2"/>
        <v>0</v>
      </c>
      <c r="O39" s="64">
        <f t="shared" si="3"/>
        <v>0</v>
      </c>
      <c r="P39" s="18"/>
    </row>
    <row r="40" spans="1:16" ht="15.6" x14ac:dyDescent="0.3">
      <c r="A40" s="2" t="s">
        <v>81</v>
      </c>
      <c r="B40" s="10" t="s">
        <v>82</v>
      </c>
      <c r="C40" s="24"/>
      <c r="D40" s="46">
        <f t="shared" si="4"/>
        <v>0</v>
      </c>
      <c r="E40" s="24"/>
      <c r="F40" s="25"/>
      <c r="G40" s="51">
        <f t="shared" si="5"/>
        <v>0</v>
      </c>
      <c r="H40" s="25"/>
      <c r="I40" s="51">
        <f t="shared" si="6"/>
        <v>0</v>
      </c>
      <c r="J40" s="27"/>
      <c r="K40" s="59">
        <f t="shared" si="7"/>
        <v>0</v>
      </c>
      <c r="L40" s="63">
        <f t="shared" si="0"/>
        <v>0</v>
      </c>
      <c r="M40" s="64">
        <f t="shared" si="1"/>
        <v>0</v>
      </c>
      <c r="N40" s="63">
        <f t="shared" si="2"/>
        <v>0</v>
      </c>
      <c r="O40" s="64">
        <f t="shared" si="3"/>
        <v>0</v>
      </c>
      <c r="P40" s="18"/>
    </row>
    <row r="41" spans="1:16" ht="15.6" x14ac:dyDescent="0.3">
      <c r="A41" s="2" t="s">
        <v>83</v>
      </c>
      <c r="B41" s="10" t="s">
        <v>84</v>
      </c>
      <c r="C41" s="24"/>
      <c r="D41" s="46">
        <f t="shared" si="4"/>
        <v>0</v>
      </c>
      <c r="E41" s="24"/>
      <c r="F41" s="25"/>
      <c r="G41" s="51">
        <f t="shared" si="5"/>
        <v>0</v>
      </c>
      <c r="H41" s="25"/>
      <c r="I41" s="51">
        <f t="shared" si="6"/>
        <v>0</v>
      </c>
      <c r="J41" s="27"/>
      <c r="K41" s="59">
        <f t="shared" si="7"/>
        <v>0</v>
      </c>
      <c r="L41" s="63">
        <f t="shared" si="0"/>
        <v>0</v>
      </c>
      <c r="M41" s="64">
        <f t="shared" si="1"/>
        <v>0</v>
      </c>
      <c r="N41" s="63">
        <f t="shared" si="2"/>
        <v>0</v>
      </c>
      <c r="O41" s="64">
        <f t="shared" si="3"/>
        <v>0</v>
      </c>
      <c r="P41" s="18"/>
    </row>
    <row r="42" spans="1:16" ht="15.6" x14ac:dyDescent="0.3">
      <c r="A42" s="2" t="s">
        <v>85</v>
      </c>
      <c r="B42" s="10" t="s">
        <v>86</v>
      </c>
      <c r="C42" s="29"/>
      <c r="D42" s="46">
        <f t="shared" si="4"/>
        <v>0</v>
      </c>
      <c r="E42" s="24"/>
      <c r="F42" s="25"/>
      <c r="G42" s="51">
        <f t="shared" si="5"/>
        <v>0</v>
      </c>
      <c r="H42" s="25"/>
      <c r="I42" s="51">
        <f t="shared" si="6"/>
        <v>0</v>
      </c>
      <c r="J42" s="27"/>
      <c r="K42" s="59">
        <f t="shared" si="7"/>
        <v>0</v>
      </c>
      <c r="L42" s="63">
        <f t="shared" si="0"/>
        <v>0</v>
      </c>
      <c r="M42" s="64">
        <f t="shared" si="1"/>
        <v>0</v>
      </c>
      <c r="N42" s="63">
        <f t="shared" si="2"/>
        <v>0</v>
      </c>
      <c r="O42" s="64">
        <f t="shared" si="3"/>
        <v>0</v>
      </c>
      <c r="P42" s="18"/>
    </row>
    <row r="43" spans="1:16" ht="15.6" x14ac:dyDescent="0.3">
      <c r="A43" s="2" t="s">
        <v>87</v>
      </c>
      <c r="B43" s="10" t="s">
        <v>88</v>
      </c>
      <c r="C43" s="29"/>
      <c r="D43" s="46">
        <f t="shared" si="4"/>
        <v>0</v>
      </c>
      <c r="E43" s="24"/>
      <c r="F43" s="25"/>
      <c r="G43" s="51">
        <f t="shared" si="5"/>
        <v>0</v>
      </c>
      <c r="H43" s="25"/>
      <c r="I43" s="51">
        <f t="shared" si="6"/>
        <v>0</v>
      </c>
      <c r="J43" s="27"/>
      <c r="K43" s="59">
        <f t="shared" si="7"/>
        <v>0</v>
      </c>
      <c r="L43" s="63">
        <f t="shared" si="0"/>
        <v>0</v>
      </c>
      <c r="M43" s="64">
        <f t="shared" si="1"/>
        <v>0</v>
      </c>
      <c r="N43" s="63">
        <f t="shared" si="2"/>
        <v>0</v>
      </c>
      <c r="O43" s="64">
        <f t="shared" si="3"/>
        <v>0</v>
      </c>
      <c r="P43" s="18"/>
    </row>
    <row r="44" spans="1:16" ht="15.6" x14ac:dyDescent="0.3">
      <c r="A44" s="2" t="s">
        <v>89</v>
      </c>
      <c r="B44" s="10" t="s">
        <v>90</v>
      </c>
      <c r="C44" s="24"/>
      <c r="D44" s="46">
        <f t="shared" si="4"/>
        <v>0</v>
      </c>
      <c r="E44" s="24"/>
      <c r="F44" s="25"/>
      <c r="G44" s="51">
        <f t="shared" si="5"/>
        <v>0</v>
      </c>
      <c r="H44" s="25"/>
      <c r="I44" s="51">
        <f t="shared" si="6"/>
        <v>0</v>
      </c>
      <c r="J44" s="27"/>
      <c r="K44" s="59">
        <f t="shared" si="7"/>
        <v>0</v>
      </c>
      <c r="L44" s="63">
        <f t="shared" si="0"/>
        <v>0</v>
      </c>
      <c r="M44" s="64">
        <f t="shared" si="1"/>
        <v>0</v>
      </c>
      <c r="N44" s="63">
        <f t="shared" si="2"/>
        <v>0</v>
      </c>
      <c r="O44" s="64">
        <f t="shared" si="3"/>
        <v>0</v>
      </c>
      <c r="P44" s="18"/>
    </row>
    <row r="45" spans="1:16" ht="15.6" x14ac:dyDescent="0.3">
      <c r="A45" s="2" t="s">
        <v>91</v>
      </c>
      <c r="B45" s="10" t="s">
        <v>92</v>
      </c>
      <c r="C45" s="29"/>
      <c r="D45" s="46">
        <f t="shared" si="4"/>
        <v>0</v>
      </c>
      <c r="E45" s="24"/>
      <c r="F45" s="25"/>
      <c r="G45" s="51">
        <f t="shared" si="5"/>
        <v>0</v>
      </c>
      <c r="H45" s="25"/>
      <c r="I45" s="51">
        <f t="shared" si="6"/>
        <v>0</v>
      </c>
      <c r="J45" s="27"/>
      <c r="K45" s="59">
        <f t="shared" si="7"/>
        <v>0</v>
      </c>
      <c r="L45" s="63">
        <f t="shared" si="0"/>
        <v>0</v>
      </c>
      <c r="M45" s="64">
        <f t="shared" si="1"/>
        <v>0</v>
      </c>
      <c r="N45" s="63">
        <f t="shared" si="2"/>
        <v>0</v>
      </c>
      <c r="O45" s="64">
        <f t="shared" si="3"/>
        <v>0</v>
      </c>
      <c r="P45" s="18"/>
    </row>
    <row r="46" spans="1:16" ht="15.6" x14ac:dyDescent="0.3">
      <c r="A46" s="2" t="s">
        <v>93</v>
      </c>
      <c r="B46" s="10" t="s">
        <v>94</v>
      </c>
      <c r="C46" s="29"/>
      <c r="D46" s="46">
        <f t="shared" si="4"/>
        <v>0</v>
      </c>
      <c r="E46" s="24"/>
      <c r="F46" s="25"/>
      <c r="G46" s="51">
        <f t="shared" si="5"/>
        <v>0</v>
      </c>
      <c r="H46" s="25"/>
      <c r="I46" s="51">
        <f t="shared" si="6"/>
        <v>0</v>
      </c>
      <c r="J46" s="27"/>
      <c r="K46" s="59">
        <f t="shared" si="7"/>
        <v>0</v>
      </c>
      <c r="L46" s="63">
        <f t="shared" si="0"/>
        <v>0</v>
      </c>
      <c r="M46" s="64">
        <f t="shared" si="1"/>
        <v>0</v>
      </c>
      <c r="N46" s="63">
        <f t="shared" si="2"/>
        <v>0</v>
      </c>
      <c r="O46" s="64">
        <f t="shared" si="3"/>
        <v>0</v>
      </c>
      <c r="P46" s="18"/>
    </row>
    <row r="47" spans="1:16" s="16" customFormat="1" ht="15.6" x14ac:dyDescent="0.3">
      <c r="A47" s="21" t="s">
        <v>95</v>
      </c>
      <c r="B47" s="22" t="s">
        <v>96</v>
      </c>
      <c r="C47" s="91">
        <f>C3-C6</f>
        <v>0</v>
      </c>
      <c r="D47" s="82"/>
      <c r="E47" s="36">
        <f>E3-E6</f>
        <v>0</v>
      </c>
      <c r="F47" s="92">
        <f>F3-F6</f>
        <v>0</v>
      </c>
      <c r="G47" s="82"/>
      <c r="H47" s="92">
        <f>H3-H6</f>
        <v>0</v>
      </c>
      <c r="I47" s="82"/>
      <c r="J47" s="89">
        <f>J3-J6</f>
        <v>0</v>
      </c>
      <c r="K47" s="82"/>
      <c r="L47" s="63">
        <f t="shared" si="0"/>
        <v>0</v>
      </c>
      <c r="M47" s="64">
        <f t="shared" si="1"/>
        <v>0</v>
      </c>
      <c r="N47" s="63">
        <f t="shared" si="2"/>
        <v>0</v>
      </c>
      <c r="O47" s="64">
        <f t="shared" si="3"/>
        <v>0</v>
      </c>
      <c r="P47" s="18"/>
    </row>
    <row r="48" spans="1:16" x14ac:dyDescent="0.3">
      <c r="A48" s="30" t="s">
        <v>97</v>
      </c>
      <c r="B48" s="11" t="s">
        <v>98</v>
      </c>
      <c r="C48" s="84">
        <f>IFERROR(C47/C3,0)</f>
        <v>0</v>
      </c>
      <c r="D48" s="77"/>
      <c r="E48" s="47">
        <f>IFERROR(E47/E3,0)</f>
        <v>0</v>
      </c>
      <c r="F48" s="76">
        <f>IFERROR(F47/F3,0)</f>
        <v>0</v>
      </c>
      <c r="G48" s="77"/>
      <c r="H48" s="76">
        <f>IFERROR(H47/H3,0)</f>
        <v>0</v>
      </c>
      <c r="I48" s="77"/>
      <c r="J48" s="80">
        <f>IFERROR(J47/J3,0)</f>
        <v>0</v>
      </c>
      <c r="K48" s="77"/>
    </row>
    <row r="49" spans="1:16" x14ac:dyDescent="0.3">
      <c r="A49" s="30" t="s">
        <v>99</v>
      </c>
      <c r="B49" s="11" t="s">
        <v>100</v>
      </c>
      <c r="C49" s="84">
        <f>IFERROR(C47/C51,0)</f>
        <v>0</v>
      </c>
      <c r="D49" s="77"/>
      <c r="E49" s="47">
        <f>IFERROR(E47/C51,0)</f>
        <v>0</v>
      </c>
      <c r="F49" s="76">
        <f t="shared" ref="F49" si="8">IFERROR(F47/F51,0)</f>
        <v>0</v>
      </c>
      <c r="G49" s="77"/>
      <c r="H49" s="76">
        <f t="shared" ref="H49" si="9">IFERROR(H47/H51,0)</f>
        <v>0</v>
      </c>
      <c r="I49" s="77"/>
      <c r="J49" s="80">
        <f t="shared" ref="J49" si="10">IFERROR(J47/J51,0)</f>
        <v>0</v>
      </c>
      <c r="K49" s="77"/>
    </row>
    <row r="50" spans="1:16" x14ac:dyDescent="0.3">
      <c r="A50" s="33" t="s">
        <v>101</v>
      </c>
      <c r="B50" s="11" t="s">
        <v>102</v>
      </c>
      <c r="C50" s="84">
        <f>IFERROR(C49*12,0)</f>
        <v>0</v>
      </c>
      <c r="D50" s="77"/>
      <c r="E50" s="47">
        <f>IFERROR(E49*12,0)</f>
        <v>0</v>
      </c>
      <c r="F50" s="76">
        <f t="shared" ref="F50" si="11">IFERROR(F49*12,0)</f>
        <v>0</v>
      </c>
      <c r="G50" s="77"/>
      <c r="H50" s="76">
        <f t="shared" ref="H50" si="12">IFERROR(H49*12,0)</f>
        <v>0</v>
      </c>
      <c r="I50" s="77"/>
      <c r="J50" s="80">
        <f t="shared" ref="J50" si="13">IFERROR(J49*12,0)</f>
        <v>0</v>
      </c>
      <c r="K50" s="77"/>
    </row>
    <row r="51" spans="1:16" x14ac:dyDescent="0.3">
      <c r="A51" s="33" t="s">
        <v>103</v>
      </c>
      <c r="B51" s="12" t="s">
        <v>104</v>
      </c>
      <c r="C51" s="78">
        <v>1286000</v>
      </c>
      <c r="D51" s="79"/>
      <c r="E51" s="4"/>
      <c r="F51" s="4"/>
      <c r="G51" s="53"/>
      <c r="H51" s="4"/>
      <c r="I51" s="53"/>
      <c r="J51" s="4"/>
      <c r="K51" s="53"/>
    </row>
    <row r="53" spans="1:16" ht="35.4" customHeight="1" x14ac:dyDescent="0.3">
      <c r="A53" s="74" t="s">
        <v>0</v>
      </c>
      <c r="B53" s="85" t="s">
        <v>105</v>
      </c>
      <c r="C53" s="93" t="s">
        <v>2</v>
      </c>
      <c r="D53" s="82"/>
      <c r="E53" s="90" t="s">
        <v>3</v>
      </c>
      <c r="F53" s="81" t="s">
        <v>4</v>
      </c>
      <c r="G53" s="82"/>
      <c r="H53" s="81" t="s">
        <v>5</v>
      </c>
      <c r="I53" s="82"/>
      <c r="J53" s="83" t="s">
        <v>6</v>
      </c>
      <c r="K53" s="82"/>
      <c r="L53" s="61" t="s">
        <v>129</v>
      </c>
      <c r="M53" s="62" t="s">
        <v>130</v>
      </c>
      <c r="N53" s="61" t="s">
        <v>131</v>
      </c>
      <c r="O53" s="62" t="s">
        <v>132</v>
      </c>
      <c r="P53" s="18" t="s">
        <v>122</v>
      </c>
    </row>
    <row r="54" spans="1:16" ht="27.6" x14ac:dyDescent="0.3">
      <c r="A54" s="75"/>
      <c r="B54" s="86"/>
      <c r="C54" s="39">
        <v>46204</v>
      </c>
      <c r="D54" s="44" t="s">
        <v>7</v>
      </c>
      <c r="E54" s="75"/>
      <c r="F54" s="40">
        <v>46235</v>
      </c>
      <c r="G54" s="49" t="s">
        <v>7</v>
      </c>
      <c r="H54" s="40">
        <v>46235</v>
      </c>
      <c r="I54" s="49" t="s">
        <v>7</v>
      </c>
      <c r="J54" s="41">
        <v>46266</v>
      </c>
      <c r="K54" s="55" t="s">
        <v>7</v>
      </c>
      <c r="L54" s="116">
        <f>F54</f>
        <v>46235</v>
      </c>
      <c r="M54" s="117"/>
      <c r="N54" s="116">
        <f>F54</f>
        <v>46235</v>
      </c>
      <c r="O54" s="117"/>
      <c r="P54" s="18"/>
    </row>
    <row r="55" spans="1:16" ht="15.6" x14ac:dyDescent="0.3">
      <c r="A55" s="14" t="s">
        <v>8</v>
      </c>
      <c r="B55" s="15" t="s">
        <v>124</v>
      </c>
      <c r="C55" s="66">
        <f>C56+C57</f>
        <v>0</v>
      </c>
      <c r="D55" s="45"/>
      <c r="E55" s="66">
        <f>E56+E57</f>
        <v>0</v>
      </c>
      <c r="F55" s="67">
        <f>F56+F57</f>
        <v>0</v>
      </c>
      <c r="G55" s="50"/>
      <c r="H55" s="67">
        <f>H56+H57</f>
        <v>0</v>
      </c>
      <c r="I55" s="52"/>
      <c r="J55" s="23">
        <f>J56+J57</f>
        <v>0</v>
      </c>
      <c r="K55" s="56"/>
      <c r="L55" s="63">
        <f>H55-F55</f>
        <v>0</v>
      </c>
      <c r="M55" s="64">
        <f>IFERROR(L55/F55,0)</f>
        <v>0</v>
      </c>
      <c r="N55" s="63">
        <f>H55-C55</f>
        <v>0</v>
      </c>
      <c r="O55" s="64">
        <f>IFERROR(N55/C55,0)</f>
        <v>0</v>
      </c>
      <c r="P55" s="19"/>
    </row>
    <row r="56" spans="1:16" ht="15.6" x14ac:dyDescent="0.3">
      <c r="A56" s="2" t="s">
        <v>9</v>
      </c>
      <c r="B56" s="6" t="s">
        <v>10</v>
      </c>
      <c r="C56" s="24"/>
      <c r="D56" s="46"/>
      <c r="E56" s="24"/>
      <c r="F56" s="25"/>
      <c r="G56" s="51"/>
      <c r="H56" s="26"/>
      <c r="I56" s="51"/>
      <c r="J56" s="27"/>
      <c r="K56" s="57"/>
      <c r="L56" s="63">
        <f t="shared" ref="L56:L99" si="14">H56-F56</f>
        <v>0</v>
      </c>
      <c r="M56" s="64">
        <f t="shared" ref="M56:M99" si="15">IFERROR(L56/F56,0)</f>
        <v>0</v>
      </c>
      <c r="N56" s="63">
        <f t="shared" ref="N56:N99" si="16">H56-C56</f>
        <v>0</v>
      </c>
      <c r="O56" s="64">
        <f t="shared" ref="O56:O99" si="17">IFERROR(N56/C56,0)</f>
        <v>0</v>
      </c>
      <c r="P56" s="19"/>
    </row>
    <row r="57" spans="1:16" ht="15.6" x14ac:dyDescent="0.3">
      <c r="A57" s="2" t="s">
        <v>11</v>
      </c>
      <c r="B57" s="6" t="s">
        <v>12</v>
      </c>
      <c r="C57" s="24"/>
      <c r="D57" s="46"/>
      <c r="E57" s="24"/>
      <c r="F57" s="25"/>
      <c r="G57" s="51"/>
      <c r="H57" s="25"/>
      <c r="I57" s="51"/>
      <c r="J57" s="27"/>
      <c r="K57" s="57"/>
      <c r="L57" s="63">
        <f t="shared" si="14"/>
        <v>0</v>
      </c>
      <c r="M57" s="64">
        <f t="shared" si="15"/>
        <v>0</v>
      </c>
      <c r="N57" s="63">
        <f t="shared" si="16"/>
        <v>0</v>
      </c>
      <c r="O57" s="64">
        <f t="shared" si="17"/>
        <v>0</v>
      </c>
      <c r="P57" s="65"/>
    </row>
    <row r="58" spans="1:16" ht="15.6" x14ac:dyDescent="0.3">
      <c r="A58" s="14" t="s">
        <v>13</v>
      </c>
      <c r="B58" s="22" t="s">
        <v>14</v>
      </c>
      <c r="C58" s="66">
        <f>C62+C63+C64+C73+C74+C75+C59</f>
        <v>0</v>
      </c>
      <c r="D58" s="45"/>
      <c r="E58" s="66">
        <f>E62+E63+E64+E73+E74+E75+E59</f>
        <v>0</v>
      </c>
      <c r="F58" s="67">
        <f>F62+F63+F64+F73+F74+F75+F59</f>
        <v>0</v>
      </c>
      <c r="G58" s="52"/>
      <c r="H58" s="67">
        <f>H62+H63+H64+H73+H74+H75+H59</f>
        <v>0</v>
      </c>
      <c r="I58" s="52"/>
      <c r="J58" s="23">
        <f>J62+J63+J64+J73+J74+J75+J59</f>
        <v>0</v>
      </c>
      <c r="K58" s="58"/>
      <c r="L58" s="63">
        <f t="shared" si="14"/>
        <v>0</v>
      </c>
      <c r="M58" s="64">
        <f t="shared" si="15"/>
        <v>0</v>
      </c>
      <c r="N58" s="63">
        <f t="shared" si="16"/>
        <v>0</v>
      </c>
      <c r="O58" s="64">
        <f t="shared" si="17"/>
        <v>0</v>
      </c>
      <c r="P58" s="18"/>
    </row>
    <row r="59" spans="1:16" ht="15.6" x14ac:dyDescent="0.3">
      <c r="A59" s="17" t="s">
        <v>15</v>
      </c>
      <c r="B59" s="7" t="s">
        <v>16</v>
      </c>
      <c r="C59" s="24">
        <f>C60+C61</f>
        <v>0</v>
      </c>
      <c r="D59" s="46">
        <f>IFERROR(C59/$C$58,0)</f>
        <v>0</v>
      </c>
      <c r="E59" s="24">
        <f>E61+E60</f>
        <v>0</v>
      </c>
      <c r="F59" s="25">
        <f>F61+F60</f>
        <v>0</v>
      </c>
      <c r="G59" s="51">
        <f>IFERROR(F59/$F$58,0)</f>
        <v>0</v>
      </c>
      <c r="H59" s="25">
        <f>H60+H61</f>
        <v>0</v>
      </c>
      <c r="I59" s="51">
        <f>IFERROR(H59/$H$58,0)</f>
        <v>0</v>
      </c>
      <c r="J59" s="27">
        <f>J60+J61</f>
        <v>0</v>
      </c>
      <c r="K59" s="59">
        <f>IFERROR(J59/$J$58,0)</f>
        <v>0</v>
      </c>
      <c r="L59" s="63">
        <f t="shared" si="14"/>
        <v>0</v>
      </c>
      <c r="M59" s="64">
        <f t="shared" si="15"/>
        <v>0</v>
      </c>
      <c r="N59" s="63">
        <f t="shared" si="16"/>
        <v>0</v>
      </c>
      <c r="O59" s="64">
        <f t="shared" si="17"/>
        <v>0</v>
      </c>
      <c r="P59" s="18"/>
    </row>
    <row r="60" spans="1:16" ht="15.6" x14ac:dyDescent="0.3">
      <c r="A60" s="2" t="s">
        <v>17</v>
      </c>
      <c r="B60" s="8" t="s">
        <v>18</v>
      </c>
      <c r="C60" s="24"/>
      <c r="D60" s="46">
        <f t="shared" ref="D60:D98" si="18">IFERROR(C60/$C$58,0)</f>
        <v>0</v>
      </c>
      <c r="E60" s="24"/>
      <c r="F60" s="25"/>
      <c r="G60" s="51">
        <f t="shared" ref="G60:G98" si="19">IFERROR(F60/$F$58,0)</f>
        <v>0</v>
      </c>
      <c r="H60" s="25"/>
      <c r="I60" s="51">
        <f t="shared" ref="I60:I98" si="20">IFERROR(H60/$H$58,0)</f>
        <v>0</v>
      </c>
      <c r="J60" s="27"/>
      <c r="K60" s="59">
        <f t="shared" ref="K60:K98" si="21">IFERROR(J60/$J$58,0)</f>
        <v>0</v>
      </c>
      <c r="L60" s="63">
        <f t="shared" si="14"/>
        <v>0</v>
      </c>
      <c r="M60" s="64">
        <f t="shared" si="15"/>
        <v>0</v>
      </c>
      <c r="N60" s="63">
        <f t="shared" si="16"/>
        <v>0</v>
      </c>
      <c r="O60" s="64">
        <f t="shared" si="17"/>
        <v>0</v>
      </c>
      <c r="P60" s="18"/>
    </row>
    <row r="61" spans="1:16" ht="15.6" x14ac:dyDescent="0.3">
      <c r="A61" s="18" t="s">
        <v>19</v>
      </c>
      <c r="B61" s="8" t="s">
        <v>20</v>
      </c>
      <c r="C61" s="24"/>
      <c r="D61" s="46">
        <f t="shared" si="18"/>
        <v>0</v>
      </c>
      <c r="E61" s="24"/>
      <c r="F61" s="25"/>
      <c r="G61" s="51">
        <f t="shared" si="19"/>
        <v>0</v>
      </c>
      <c r="H61" s="25"/>
      <c r="I61" s="51">
        <f t="shared" si="20"/>
        <v>0</v>
      </c>
      <c r="J61" s="27"/>
      <c r="K61" s="59">
        <f t="shared" si="21"/>
        <v>0</v>
      </c>
      <c r="L61" s="63">
        <f t="shared" si="14"/>
        <v>0</v>
      </c>
      <c r="M61" s="64">
        <f t="shared" si="15"/>
        <v>0</v>
      </c>
      <c r="N61" s="63">
        <f t="shared" si="16"/>
        <v>0</v>
      </c>
      <c r="O61" s="64">
        <f t="shared" si="17"/>
        <v>0</v>
      </c>
      <c r="P61" s="18"/>
    </row>
    <row r="62" spans="1:16" ht="15.6" x14ac:dyDescent="0.3">
      <c r="A62" s="2" t="s">
        <v>21</v>
      </c>
      <c r="B62" s="7" t="s">
        <v>22</v>
      </c>
      <c r="C62" s="24"/>
      <c r="D62" s="46">
        <f t="shared" si="18"/>
        <v>0</v>
      </c>
      <c r="E62" s="24"/>
      <c r="F62" s="25"/>
      <c r="G62" s="51">
        <f t="shared" si="19"/>
        <v>0</v>
      </c>
      <c r="H62" s="25"/>
      <c r="I62" s="51">
        <f t="shared" si="20"/>
        <v>0</v>
      </c>
      <c r="J62" s="27"/>
      <c r="K62" s="59">
        <f t="shared" si="21"/>
        <v>0</v>
      </c>
      <c r="L62" s="63">
        <f t="shared" si="14"/>
        <v>0</v>
      </c>
      <c r="M62" s="64">
        <f t="shared" si="15"/>
        <v>0</v>
      </c>
      <c r="N62" s="63">
        <f t="shared" si="16"/>
        <v>0</v>
      </c>
      <c r="O62" s="64">
        <f t="shared" si="17"/>
        <v>0</v>
      </c>
      <c r="P62" s="18"/>
    </row>
    <row r="63" spans="1:16" ht="15.6" x14ac:dyDescent="0.3">
      <c r="A63" s="2" t="s">
        <v>23</v>
      </c>
      <c r="B63" s="7" t="s">
        <v>24</v>
      </c>
      <c r="C63" s="24"/>
      <c r="D63" s="46">
        <f t="shared" si="18"/>
        <v>0</v>
      </c>
      <c r="E63" s="24"/>
      <c r="F63" s="25"/>
      <c r="G63" s="51">
        <f t="shared" si="19"/>
        <v>0</v>
      </c>
      <c r="H63" s="25"/>
      <c r="I63" s="51">
        <f t="shared" si="20"/>
        <v>0</v>
      </c>
      <c r="J63" s="27"/>
      <c r="K63" s="59">
        <f t="shared" si="21"/>
        <v>0</v>
      </c>
      <c r="L63" s="63">
        <f t="shared" si="14"/>
        <v>0</v>
      </c>
      <c r="M63" s="64">
        <f t="shared" si="15"/>
        <v>0</v>
      </c>
      <c r="N63" s="63">
        <f t="shared" si="16"/>
        <v>0</v>
      </c>
      <c r="O63" s="64">
        <f t="shared" si="17"/>
        <v>0</v>
      </c>
      <c r="P63" s="18"/>
    </row>
    <row r="64" spans="1:16" ht="15.6" x14ac:dyDescent="0.3">
      <c r="A64" s="2" t="s">
        <v>25</v>
      </c>
      <c r="B64" s="7" t="s">
        <v>26</v>
      </c>
      <c r="C64" s="24">
        <f>SUM(C65:C72)</f>
        <v>0</v>
      </c>
      <c r="D64" s="46">
        <f t="shared" si="18"/>
        <v>0</v>
      </c>
      <c r="E64" s="24">
        <f>SUM(E65:E72)</f>
        <v>0</v>
      </c>
      <c r="F64" s="25">
        <f>SUM(F65:F72)</f>
        <v>0</v>
      </c>
      <c r="G64" s="51">
        <f t="shared" si="19"/>
        <v>0</v>
      </c>
      <c r="H64" s="25">
        <f>SUM(H65:H72)</f>
        <v>0</v>
      </c>
      <c r="I64" s="51">
        <f t="shared" si="20"/>
        <v>0</v>
      </c>
      <c r="J64" s="27">
        <f>SUM(J65:J72)</f>
        <v>0</v>
      </c>
      <c r="K64" s="59">
        <f t="shared" si="21"/>
        <v>0</v>
      </c>
      <c r="L64" s="63">
        <f t="shared" si="14"/>
        <v>0</v>
      </c>
      <c r="M64" s="64">
        <f t="shared" si="15"/>
        <v>0</v>
      </c>
      <c r="N64" s="63">
        <f t="shared" si="16"/>
        <v>0</v>
      </c>
      <c r="O64" s="64">
        <f t="shared" si="17"/>
        <v>0</v>
      </c>
      <c r="P64" s="18"/>
    </row>
    <row r="65" spans="1:16" ht="15.6" x14ac:dyDescent="0.3">
      <c r="A65" s="2" t="s">
        <v>27</v>
      </c>
      <c r="B65" s="9" t="s">
        <v>28</v>
      </c>
      <c r="C65" s="24"/>
      <c r="D65" s="46">
        <f t="shared" si="18"/>
        <v>0</v>
      </c>
      <c r="E65" s="24"/>
      <c r="F65" s="25"/>
      <c r="G65" s="51">
        <f t="shared" si="19"/>
        <v>0</v>
      </c>
      <c r="H65" s="25"/>
      <c r="I65" s="51">
        <f t="shared" si="20"/>
        <v>0</v>
      </c>
      <c r="J65" s="27"/>
      <c r="K65" s="59">
        <f t="shared" si="21"/>
        <v>0</v>
      </c>
      <c r="L65" s="63">
        <f t="shared" si="14"/>
        <v>0</v>
      </c>
      <c r="M65" s="64">
        <f t="shared" si="15"/>
        <v>0</v>
      </c>
      <c r="N65" s="63">
        <f t="shared" si="16"/>
        <v>0</v>
      </c>
      <c r="O65" s="64">
        <f t="shared" si="17"/>
        <v>0</v>
      </c>
      <c r="P65" s="18"/>
    </row>
    <row r="66" spans="1:16" ht="15.6" x14ac:dyDescent="0.3">
      <c r="A66" s="2" t="s">
        <v>29</v>
      </c>
      <c r="B66" s="9" t="s">
        <v>30</v>
      </c>
      <c r="C66" s="24"/>
      <c r="D66" s="46">
        <f t="shared" si="18"/>
        <v>0</v>
      </c>
      <c r="E66" s="24"/>
      <c r="F66" s="25"/>
      <c r="G66" s="51">
        <f t="shared" si="19"/>
        <v>0</v>
      </c>
      <c r="H66" s="25"/>
      <c r="I66" s="51">
        <f t="shared" si="20"/>
        <v>0</v>
      </c>
      <c r="J66" s="27"/>
      <c r="K66" s="59">
        <f t="shared" si="21"/>
        <v>0</v>
      </c>
      <c r="L66" s="63">
        <f t="shared" si="14"/>
        <v>0</v>
      </c>
      <c r="M66" s="64">
        <f t="shared" si="15"/>
        <v>0</v>
      </c>
      <c r="N66" s="63">
        <f t="shared" si="16"/>
        <v>0</v>
      </c>
      <c r="O66" s="64">
        <f t="shared" si="17"/>
        <v>0</v>
      </c>
      <c r="P66" s="18"/>
    </row>
    <row r="67" spans="1:16" ht="15.6" x14ac:dyDescent="0.3">
      <c r="A67" s="2" t="s">
        <v>31</v>
      </c>
      <c r="B67" s="9" t="s">
        <v>32</v>
      </c>
      <c r="C67" s="24"/>
      <c r="D67" s="46">
        <f t="shared" si="18"/>
        <v>0</v>
      </c>
      <c r="E67" s="24"/>
      <c r="F67" s="25"/>
      <c r="G67" s="51">
        <f t="shared" si="19"/>
        <v>0</v>
      </c>
      <c r="H67" s="25"/>
      <c r="I67" s="51">
        <f t="shared" si="20"/>
        <v>0</v>
      </c>
      <c r="J67" s="27"/>
      <c r="K67" s="59">
        <f t="shared" si="21"/>
        <v>0</v>
      </c>
      <c r="L67" s="63">
        <f t="shared" si="14"/>
        <v>0</v>
      </c>
      <c r="M67" s="64">
        <f t="shared" si="15"/>
        <v>0</v>
      </c>
      <c r="N67" s="63">
        <f t="shared" si="16"/>
        <v>0</v>
      </c>
      <c r="O67" s="64">
        <f t="shared" si="17"/>
        <v>0</v>
      </c>
      <c r="P67" s="18"/>
    </row>
    <row r="68" spans="1:16" ht="15.6" x14ac:dyDescent="0.3">
      <c r="A68" s="2" t="s">
        <v>33</v>
      </c>
      <c r="B68" s="9" t="s">
        <v>34</v>
      </c>
      <c r="C68" s="24"/>
      <c r="D68" s="46">
        <f t="shared" si="18"/>
        <v>0</v>
      </c>
      <c r="E68" s="24"/>
      <c r="F68" s="25"/>
      <c r="G68" s="51">
        <f t="shared" si="19"/>
        <v>0</v>
      </c>
      <c r="H68" s="25"/>
      <c r="I68" s="51">
        <f t="shared" si="20"/>
        <v>0</v>
      </c>
      <c r="J68" s="27"/>
      <c r="K68" s="59">
        <f t="shared" si="21"/>
        <v>0</v>
      </c>
      <c r="L68" s="63">
        <f t="shared" si="14"/>
        <v>0</v>
      </c>
      <c r="M68" s="64">
        <f t="shared" si="15"/>
        <v>0</v>
      </c>
      <c r="N68" s="63">
        <f t="shared" si="16"/>
        <v>0</v>
      </c>
      <c r="O68" s="64">
        <f t="shared" si="17"/>
        <v>0</v>
      </c>
      <c r="P68" s="18"/>
    </row>
    <row r="69" spans="1:16" ht="15.6" x14ac:dyDescent="0.3">
      <c r="A69" s="2" t="s">
        <v>35</v>
      </c>
      <c r="B69" s="9" t="s">
        <v>36</v>
      </c>
      <c r="C69" s="24"/>
      <c r="D69" s="46">
        <f t="shared" si="18"/>
        <v>0</v>
      </c>
      <c r="E69" s="24"/>
      <c r="F69" s="25"/>
      <c r="G69" s="51">
        <f t="shared" si="19"/>
        <v>0</v>
      </c>
      <c r="H69" s="25"/>
      <c r="I69" s="51">
        <f t="shared" si="20"/>
        <v>0</v>
      </c>
      <c r="J69" s="27"/>
      <c r="K69" s="59">
        <f t="shared" si="21"/>
        <v>0</v>
      </c>
      <c r="L69" s="63">
        <f t="shared" si="14"/>
        <v>0</v>
      </c>
      <c r="M69" s="64">
        <f t="shared" si="15"/>
        <v>0</v>
      </c>
      <c r="N69" s="63">
        <f t="shared" si="16"/>
        <v>0</v>
      </c>
      <c r="O69" s="64">
        <f t="shared" si="17"/>
        <v>0</v>
      </c>
      <c r="P69" s="18"/>
    </row>
    <row r="70" spans="1:16" ht="27.6" x14ac:dyDescent="0.3">
      <c r="A70" s="2" t="s">
        <v>37</v>
      </c>
      <c r="B70" s="9" t="s">
        <v>38</v>
      </c>
      <c r="C70" s="24"/>
      <c r="D70" s="46">
        <f t="shared" si="18"/>
        <v>0</v>
      </c>
      <c r="E70" s="24"/>
      <c r="F70" s="25"/>
      <c r="G70" s="51">
        <f t="shared" si="19"/>
        <v>0</v>
      </c>
      <c r="H70" s="25"/>
      <c r="I70" s="51">
        <f t="shared" si="20"/>
        <v>0</v>
      </c>
      <c r="J70" s="27"/>
      <c r="K70" s="59">
        <f t="shared" si="21"/>
        <v>0</v>
      </c>
      <c r="L70" s="63">
        <f t="shared" si="14"/>
        <v>0</v>
      </c>
      <c r="M70" s="64">
        <f t="shared" si="15"/>
        <v>0</v>
      </c>
      <c r="N70" s="63">
        <f t="shared" si="16"/>
        <v>0</v>
      </c>
      <c r="O70" s="64">
        <f t="shared" si="17"/>
        <v>0</v>
      </c>
      <c r="P70" s="18"/>
    </row>
    <row r="71" spans="1:16" ht="15.6" x14ac:dyDescent="0.3">
      <c r="A71" s="2" t="s">
        <v>39</v>
      </c>
      <c r="B71" s="9" t="s">
        <v>40</v>
      </c>
      <c r="C71" s="24"/>
      <c r="D71" s="46">
        <f t="shared" si="18"/>
        <v>0</v>
      </c>
      <c r="E71" s="24"/>
      <c r="F71" s="25"/>
      <c r="G71" s="51">
        <f t="shared" si="19"/>
        <v>0</v>
      </c>
      <c r="H71" s="25"/>
      <c r="I71" s="51">
        <f t="shared" si="20"/>
        <v>0</v>
      </c>
      <c r="J71" s="27"/>
      <c r="K71" s="59">
        <f t="shared" si="21"/>
        <v>0</v>
      </c>
      <c r="L71" s="63">
        <f t="shared" si="14"/>
        <v>0</v>
      </c>
      <c r="M71" s="64">
        <f t="shared" si="15"/>
        <v>0</v>
      </c>
      <c r="N71" s="63">
        <f t="shared" si="16"/>
        <v>0</v>
      </c>
      <c r="O71" s="64">
        <f t="shared" si="17"/>
        <v>0</v>
      </c>
      <c r="P71" s="18"/>
    </row>
    <row r="72" spans="1:16" ht="15.6" x14ac:dyDescent="0.3">
      <c r="A72" s="2" t="s">
        <v>41</v>
      </c>
      <c r="B72" s="9" t="s">
        <v>42</v>
      </c>
      <c r="C72" s="24"/>
      <c r="D72" s="46">
        <f t="shared" si="18"/>
        <v>0</v>
      </c>
      <c r="E72" s="24"/>
      <c r="F72" s="25"/>
      <c r="G72" s="51">
        <f t="shared" si="19"/>
        <v>0</v>
      </c>
      <c r="H72" s="25"/>
      <c r="I72" s="51">
        <f t="shared" si="20"/>
        <v>0</v>
      </c>
      <c r="J72" s="27"/>
      <c r="K72" s="59">
        <f t="shared" si="21"/>
        <v>0</v>
      </c>
      <c r="L72" s="63">
        <f t="shared" si="14"/>
        <v>0</v>
      </c>
      <c r="M72" s="64">
        <f t="shared" si="15"/>
        <v>0</v>
      </c>
      <c r="N72" s="63">
        <f t="shared" si="16"/>
        <v>0</v>
      </c>
      <c r="O72" s="64">
        <f t="shared" si="17"/>
        <v>0</v>
      </c>
      <c r="P72" s="18"/>
    </row>
    <row r="73" spans="1:16" ht="15.6" x14ac:dyDescent="0.3">
      <c r="A73" s="2" t="s">
        <v>43</v>
      </c>
      <c r="B73" s="7" t="s">
        <v>44</v>
      </c>
      <c r="C73" s="24"/>
      <c r="D73" s="46">
        <f t="shared" si="18"/>
        <v>0</v>
      </c>
      <c r="E73" s="24"/>
      <c r="F73" s="25"/>
      <c r="G73" s="51">
        <f t="shared" si="19"/>
        <v>0</v>
      </c>
      <c r="H73" s="25"/>
      <c r="I73" s="51">
        <f t="shared" si="20"/>
        <v>0</v>
      </c>
      <c r="J73" s="27"/>
      <c r="K73" s="59">
        <f t="shared" si="21"/>
        <v>0</v>
      </c>
      <c r="L73" s="63">
        <f t="shared" si="14"/>
        <v>0</v>
      </c>
      <c r="M73" s="64">
        <f t="shared" si="15"/>
        <v>0</v>
      </c>
      <c r="N73" s="63">
        <f t="shared" si="16"/>
        <v>0</v>
      </c>
      <c r="O73" s="64">
        <f t="shared" si="17"/>
        <v>0</v>
      </c>
      <c r="P73" s="18"/>
    </row>
    <row r="74" spans="1:16" ht="15.6" x14ac:dyDescent="0.3">
      <c r="A74" s="2" t="s">
        <v>45</v>
      </c>
      <c r="B74" s="7" t="s">
        <v>46</v>
      </c>
      <c r="C74" s="24"/>
      <c r="D74" s="46">
        <f t="shared" si="18"/>
        <v>0</v>
      </c>
      <c r="E74" s="24"/>
      <c r="F74" s="25"/>
      <c r="G74" s="51">
        <f t="shared" si="19"/>
        <v>0</v>
      </c>
      <c r="H74" s="25"/>
      <c r="I74" s="51">
        <f t="shared" si="20"/>
        <v>0</v>
      </c>
      <c r="J74" s="27"/>
      <c r="K74" s="59">
        <f t="shared" si="21"/>
        <v>0</v>
      </c>
      <c r="L74" s="63">
        <f t="shared" si="14"/>
        <v>0</v>
      </c>
      <c r="M74" s="64">
        <f t="shared" si="15"/>
        <v>0</v>
      </c>
      <c r="N74" s="63">
        <f t="shared" si="16"/>
        <v>0</v>
      </c>
      <c r="O74" s="64">
        <f t="shared" si="17"/>
        <v>0</v>
      </c>
      <c r="P74" s="18"/>
    </row>
    <row r="75" spans="1:16" ht="15.6" x14ac:dyDescent="0.3">
      <c r="A75" s="19" t="s">
        <v>47</v>
      </c>
      <c r="B75" s="7" t="s">
        <v>48</v>
      </c>
      <c r="C75" s="66">
        <f>SUM(C76:C98)</f>
        <v>0</v>
      </c>
      <c r="D75" s="46">
        <f t="shared" si="18"/>
        <v>0</v>
      </c>
      <c r="E75" s="66">
        <f>SUM(E76:E98)</f>
        <v>0</v>
      </c>
      <c r="F75" s="67">
        <f>SUM(F76:F98)</f>
        <v>0</v>
      </c>
      <c r="G75" s="51">
        <f t="shared" si="19"/>
        <v>0</v>
      </c>
      <c r="H75" s="67">
        <f>SUM(H76:H98)</f>
        <v>0</v>
      </c>
      <c r="I75" s="51">
        <f t="shared" si="20"/>
        <v>0</v>
      </c>
      <c r="J75" s="23">
        <f>SUM(J76:J98)</f>
        <v>0</v>
      </c>
      <c r="K75" s="59">
        <f t="shared" si="21"/>
        <v>0</v>
      </c>
      <c r="L75" s="63">
        <f t="shared" si="14"/>
        <v>0</v>
      </c>
      <c r="M75" s="64">
        <f t="shared" si="15"/>
        <v>0</v>
      </c>
      <c r="N75" s="63">
        <f t="shared" si="16"/>
        <v>0</v>
      </c>
      <c r="O75" s="64">
        <f t="shared" si="17"/>
        <v>0</v>
      </c>
      <c r="P75" s="18"/>
    </row>
    <row r="76" spans="1:16" ht="15.6" x14ac:dyDescent="0.3">
      <c r="A76" s="2" t="s">
        <v>49</v>
      </c>
      <c r="B76" s="10" t="s">
        <v>50</v>
      </c>
      <c r="C76" s="29"/>
      <c r="D76" s="46">
        <f t="shared" si="18"/>
        <v>0</v>
      </c>
      <c r="E76" s="24"/>
      <c r="F76" s="25"/>
      <c r="G76" s="51">
        <f t="shared" si="19"/>
        <v>0</v>
      </c>
      <c r="H76" s="25"/>
      <c r="I76" s="51">
        <f t="shared" si="20"/>
        <v>0</v>
      </c>
      <c r="J76" s="27"/>
      <c r="K76" s="59">
        <f t="shared" si="21"/>
        <v>0</v>
      </c>
      <c r="L76" s="63">
        <f t="shared" si="14"/>
        <v>0</v>
      </c>
      <c r="M76" s="64">
        <f t="shared" si="15"/>
        <v>0</v>
      </c>
      <c r="N76" s="63">
        <f t="shared" si="16"/>
        <v>0</v>
      </c>
      <c r="O76" s="64">
        <f t="shared" si="17"/>
        <v>0</v>
      </c>
      <c r="P76" s="18"/>
    </row>
    <row r="77" spans="1:16" ht="15.6" x14ac:dyDescent="0.3">
      <c r="A77" s="2" t="s">
        <v>51</v>
      </c>
      <c r="B77" s="10" t="s">
        <v>52</v>
      </c>
      <c r="C77" s="24"/>
      <c r="D77" s="46">
        <f t="shared" si="18"/>
        <v>0</v>
      </c>
      <c r="E77" s="24"/>
      <c r="F77" s="25"/>
      <c r="G77" s="51">
        <f t="shared" si="19"/>
        <v>0</v>
      </c>
      <c r="H77" s="25"/>
      <c r="I77" s="51">
        <f t="shared" si="20"/>
        <v>0</v>
      </c>
      <c r="J77" s="27"/>
      <c r="K77" s="59">
        <f t="shared" si="21"/>
        <v>0</v>
      </c>
      <c r="L77" s="63">
        <f t="shared" si="14"/>
        <v>0</v>
      </c>
      <c r="M77" s="64">
        <f t="shared" si="15"/>
        <v>0</v>
      </c>
      <c r="N77" s="63">
        <f t="shared" si="16"/>
        <v>0</v>
      </c>
      <c r="O77" s="64">
        <f t="shared" si="17"/>
        <v>0</v>
      </c>
      <c r="P77" s="18"/>
    </row>
    <row r="78" spans="1:16" ht="15.6" x14ac:dyDescent="0.3">
      <c r="A78" s="2" t="s">
        <v>53</v>
      </c>
      <c r="B78" s="10" t="s">
        <v>54</v>
      </c>
      <c r="C78" s="24"/>
      <c r="D78" s="46">
        <f t="shared" si="18"/>
        <v>0</v>
      </c>
      <c r="E78" s="24"/>
      <c r="F78" s="25"/>
      <c r="G78" s="51">
        <f t="shared" si="19"/>
        <v>0</v>
      </c>
      <c r="H78" s="25"/>
      <c r="I78" s="51">
        <f t="shared" si="20"/>
        <v>0</v>
      </c>
      <c r="J78" s="27"/>
      <c r="K78" s="59">
        <f t="shared" si="21"/>
        <v>0</v>
      </c>
      <c r="L78" s="63">
        <f t="shared" si="14"/>
        <v>0</v>
      </c>
      <c r="M78" s="64">
        <f t="shared" si="15"/>
        <v>0</v>
      </c>
      <c r="N78" s="63">
        <f t="shared" si="16"/>
        <v>0</v>
      </c>
      <c r="O78" s="64">
        <f t="shared" si="17"/>
        <v>0</v>
      </c>
      <c r="P78" s="18"/>
    </row>
    <row r="79" spans="1:16" ht="15.6" x14ac:dyDescent="0.3">
      <c r="A79" s="2" t="s">
        <v>55</v>
      </c>
      <c r="B79" s="10" t="s">
        <v>56</v>
      </c>
      <c r="C79" s="24"/>
      <c r="D79" s="46">
        <f t="shared" si="18"/>
        <v>0</v>
      </c>
      <c r="E79" s="24"/>
      <c r="F79" s="25"/>
      <c r="G79" s="51">
        <f t="shared" si="19"/>
        <v>0</v>
      </c>
      <c r="H79" s="25"/>
      <c r="I79" s="51">
        <f t="shared" si="20"/>
        <v>0</v>
      </c>
      <c r="J79" s="27"/>
      <c r="K79" s="59">
        <f t="shared" si="21"/>
        <v>0</v>
      </c>
      <c r="L79" s="63">
        <f t="shared" si="14"/>
        <v>0</v>
      </c>
      <c r="M79" s="64">
        <f t="shared" si="15"/>
        <v>0</v>
      </c>
      <c r="N79" s="63">
        <f t="shared" si="16"/>
        <v>0</v>
      </c>
      <c r="O79" s="64">
        <f t="shared" si="17"/>
        <v>0</v>
      </c>
      <c r="P79" s="18"/>
    </row>
    <row r="80" spans="1:16" ht="15.6" x14ac:dyDescent="0.3">
      <c r="A80" s="2" t="s">
        <v>57</v>
      </c>
      <c r="B80" s="10" t="s">
        <v>58</v>
      </c>
      <c r="C80" s="29"/>
      <c r="D80" s="46">
        <f t="shared" si="18"/>
        <v>0</v>
      </c>
      <c r="E80" s="24"/>
      <c r="F80" s="25"/>
      <c r="G80" s="51">
        <f t="shared" si="19"/>
        <v>0</v>
      </c>
      <c r="H80" s="25"/>
      <c r="I80" s="51">
        <f t="shared" si="20"/>
        <v>0</v>
      </c>
      <c r="J80" s="27"/>
      <c r="K80" s="59">
        <f t="shared" si="21"/>
        <v>0</v>
      </c>
      <c r="L80" s="63">
        <f t="shared" si="14"/>
        <v>0</v>
      </c>
      <c r="M80" s="64">
        <f t="shared" si="15"/>
        <v>0</v>
      </c>
      <c r="N80" s="63">
        <f t="shared" si="16"/>
        <v>0</v>
      </c>
      <c r="O80" s="64">
        <f t="shared" si="17"/>
        <v>0</v>
      </c>
      <c r="P80" s="18"/>
    </row>
    <row r="81" spans="1:16" ht="15.6" x14ac:dyDescent="0.3">
      <c r="A81" s="2" t="s">
        <v>59</v>
      </c>
      <c r="B81" s="10" t="s">
        <v>60</v>
      </c>
      <c r="C81" s="24"/>
      <c r="D81" s="46">
        <f t="shared" si="18"/>
        <v>0</v>
      </c>
      <c r="E81" s="24"/>
      <c r="F81" s="25"/>
      <c r="G81" s="51">
        <f t="shared" si="19"/>
        <v>0</v>
      </c>
      <c r="H81" s="25"/>
      <c r="I81" s="51">
        <f t="shared" si="20"/>
        <v>0</v>
      </c>
      <c r="J81" s="27"/>
      <c r="K81" s="59">
        <f t="shared" si="21"/>
        <v>0</v>
      </c>
      <c r="L81" s="63">
        <f t="shared" si="14"/>
        <v>0</v>
      </c>
      <c r="M81" s="64">
        <f t="shared" si="15"/>
        <v>0</v>
      </c>
      <c r="N81" s="63">
        <f t="shared" si="16"/>
        <v>0</v>
      </c>
      <c r="O81" s="64">
        <f t="shared" si="17"/>
        <v>0</v>
      </c>
      <c r="P81" s="18"/>
    </row>
    <row r="82" spans="1:16" ht="15.6" x14ac:dyDescent="0.3">
      <c r="A82" s="2" t="s">
        <v>61</v>
      </c>
      <c r="B82" s="10" t="s">
        <v>62</v>
      </c>
      <c r="C82" s="29"/>
      <c r="D82" s="46">
        <f t="shared" si="18"/>
        <v>0</v>
      </c>
      <c r="E82" s="24"/>
      <c r="F82" s="25"/>
      <c r="G82" s="51">
        <f t="shared" si="19"/>
        <v>0</v>
      </c>
      <c r="H82" s="25"/>
      <c r="I82" s="51">
        <f t="shared" si="20"/>
        <v>0</v>
      </c>
      <c r="J82" s="27"/>
      <c r="K82" s="59">
        <f t="shared" si="21"/>
        <v>0</v>
      </c>
      <c r="L82" s="63">
        <f t="shared" si="14"/>
        <v>0</v>
      </c>
      <c r="M82" s="64">
        <f t="shared" si="15"/>
        <v>0</v>
      </c>
      <c r="N82" s="63">
        <f t="shared" si="16"/>
        <v>0</v>
      </c>
      <c r="O82" s="64">
        <f t="shared" si="17"/>
        <v>0</v>
      </c>
      <c r="P82" s="18"/>
    </row>
    <row r="83" spans="1:16" ht="15.6" x14ac:dyDescent="0.3">
      <c r="A83" s="2" t="s">
        <v>63</v>
      </c>
      <c r="B83" s="10" t="s">
        <v>64</v>
      </c>
      <c r="C83" s="24"/>
      <c r="D83" s="46">
        <f t="shared" si="18"/>
        <v>0</v>
      </c>
      <c r="E83" s="24"/>
      <c r="F83" s="25"/>
      <c r="G83" s="51">
        <f t="shared" si="19"/>
        <v>0</v>
      </c>
      <c r="H83" s="25"/>
      <c r="I83" s="51">
        <f t="shared" si="20"/>
        <v>0</v>
      </c>
      <c r="J83" s="27"/>
      <c r="K83" s="59">
        <f t="shared" si="21"/>
        <v>0</v>
      </c>
      <c r="L83" s="63">
        <f t="shared" si="14"/>
        <v>0</v>
      </c>
      <c r="M83" s="64">
        <f t="shared" si="15"/>
        <v>0</v>
      </c>
      <c r="N83" s="63">
        <f t="shared" si="16"/>
        <v>0</v>
      </c>
      <c r="O83" s="64">
        <f t="shared" si="17"/>
        <v>0</v>
      </c>
      <c r="P83" s="18"/>
    </row>
    <row r="84" spans="1:16" ht="15.6" x14ac:dyDescent="0.3">
      <c r="A84" s="2" t="s">
        <v>65</v>
      </c>
      <c r="B84" s="10" t="s">
        <v>66</v>
      </c>
      <c r="C84" s="29"/>
      <c r="D84" s="46">
        <f t="shared" si="18"/>
        <v>0</v>
      </c>
      <c r="E84" s="24"/>
      <c r="F84" s="25"/>
      <c r="G84" s="51">
        <f t="shared" si="19"/>
        <v>0</v>
      </c>
      <c r="H84" s="25"/>
      <c r="I84" s="51">
        <f t="shared" si="20"/>
        <v>0</v>
      </c>
      <c r="J84" s="27"/>
      <c r="K84" s="59">
        <f t="shared" si="21"/>
        <v>0</v>
      </c>
      <c r="L84" s="63">
        <f t="shared" si="14"/>
        <v>0</v>
      </c>
      <c r="M84" s="64">
        <f t="shared" si="15"/>
        <v>0</v>
      </c>
      <c r="N84" s="63">
        <f t="shared" si="16"/>
        <v>0</v>
      </c>
      <c r="O84" s="64">
        <f t="shared" si="17"/>
        <v>0</v>
      </c>
      <c r="P84" s="18"/>
    </row>
    <row r="85" spans="1:16" ht="15.6" x14ac:dyDescent="0.3">
      <c r="A85" s="2" t="s">
        <v>67</v>
      </c>
      <c r="B85" s="10" t="s">
        <v>68</v>
      </c>
      <c r="C85" s="29"/>
      <c r="D85" s="46">
        <f t="shared" si="18"/>
        <v>0</v>
      </c>
      <c r="E85" s="24"/>
      <c r="F85" s="25"/>
      <c r="G85" s="51">
        <f t="shared" si="19"/>
        <v>0</v>
      </c>
      <c r="H85" s="25"/>
      <c r="I85" s="51">
        <f t="shared" si="20"/>
        <v>0</v>
      </c>
      <c r="J85" s="27"/>
      <c r="K85" s="59">
        <f t="shared" si="21"/>
        <v>0</v>
      </c>
      <c r="L85" s="63">
        <f t="shared" si="14"/>
        <v>0</v>
      </c>
      <c r="M85" s="64">
        <f t="shared" si="15"/>
        <v>0</v>
      </c>
      <c r="N85" s="63">
        <f t="shared" si="16"/>
        <v>0</v>
      </c>
      <c r="O85" s="64">
        <f t="shared" si="17"/>
        <v>0</v>
      </c>
      <c r="P85" s="18"/>
    </row>
    <row r="86" spans="1:16" ht="15.6" x14ac:dyDescent="0.3">
      <c r="A86" s="2" t="s">
        <v>69</v>
      </c>
      <c r="B86" s="10" t="s">
        <v>70</v>
      </c>
      <c r="C86" s="29"/>
      <c r="D86" s="46">
        <f t="shared" si="18"/>
        <v>0</v>
      </c>
      <c r="E86" s="24"/>
      <c r="F86" s="25"/>
      <c r="G86" s="51">
        <f t="shared" si="19"/>
        <v>0</v>
      </c>
      <c r="H86" s="25"/>
      <c r="I86" s="51">
        <f t="shared" si="20"/>
        <v>0</v>
      </c>
      <c r="J86" s="27"/>
      <c r="K86" s="59">
        <f t="shared" si="21"/>
        <v>0</v>
      </c>
      <c r="L86" s="63">
        <f t="shared" si="14"/>
        <v>0</v>
      </c>
      <c r="M86" s="64">
        <f t="shared" si="15"/>
        <v>0</v>
      </c>
      <c r="N86" s="63">
        <f t="shared" si="16"/>
        <v>0</v>
      </c>
      <c r="O86" s="64">
        <f t="shared" si="17"/>
        <v>0</v>
      </c>
      <c r="P86" s="18"/>
    </row>
    <row r="87" spans="1:16" ht="15.6" x14ac:dyDescent="0.3">
      <c r="A87" s="31" t="s">
        <v>71</v>
      </c>
      <c r="B87" s="10" t="s">
        <v>72</v>
      </c>
      <c r="C87" s="29"/>
      <c r="D87" s="46">
        <f t="shared" si="18"/>
        <v>0</v>
      </c>
      <c r="E87" s="24"/>
      <c r="F87" s="25"/>
      <c r="G87" s="51">
        <f t="shared" si="19"/>
        <v>0</v>
      </c>
      <c r="H87" s="25"/>
      <c r="I87" s="51">
        <f t="shared" si="20"/>
        <v>0</v>
      </c>
      <c r="J87" s="27"/>
      <c r="K87" s="59">
        <f t="shared" si="21"/>
        <v>0</v>
      </c>
      <c r="L87" s="63">
        <f t="shared" si="14"/>
        <v>0</v>
      </c>
      <c r="M87" s="64">
        <f t="shared" si="15"/>
        <v>0</v>
      </c>
      <c r="N87" s="63">
        <f t="shared" si="16"/>
        <v>0</v>
      </c>
      <c r="O87" s="64">
        <f t="shared" si="17"/>
        <v>0</v>
      </c>
      <c r="P87" s="18"/>
    </row>
    <row r="88" spans="1:16" ht="15.6" x14ac:dyDescent="0.3">
      <c r="A88" s="2" t="s">
        <v>73</v>
      </c>
      <c r="B88" s="10" t="s">
        <v>74</v>
      </c>
      <c r="C88" s="24"/>
      <c r="D88" s="46">
        <f t="shared" si="18"/>
        <v>0</v>
      </c>
      <c r="E88" s="24"/>
      <c r="F88" s="25"/>
      <c r="G88" s="51">
        <f t="shared" si="19"/>
        <v>0</v>
      </c>
      <c r="H88" s="25"/>
      <c r="I88" s="51">
        <f t="shared" si="20"/>
        <v>0</v>
      </c>
      <c r="J88" s="27"/>
      <c r="K88" s="59">
        <f t="shared" si="21"/>
        <v>0</v>
      </c>
      <c r="L88" s="63">
        <f t="shared" si="14"/>
        <v>0</v>
      </c>
      <c r="M88" s="64">
        <f t="shared" si="15"/>
        <v>0</v>
      </c>
      <c r="N88" s="63">
        <f t="shared" si="16"/>
        <v>0</v>
      </c>
      <c r="O88" s="64">
        <f t="shared" si="17"/>
        <v>0</v>
      </c>
      <c r="P88" s="18"/>
    </row>
    <row r="89" spans="1:16" ht="15.6" x14ac:dyDescent="0.3">
      <c r="A89" s="18" t="s">
        <v>75</v>
      </c>
      <c r="B89" s="10" t="s">
        <v>76</v>
      </c>
      <c r="C89" s="29"/>
      <c r="D89" s="46">
        <f t="shared" si="18"/>
        <v>0</v>
      </c>
      <c r="E89" s="24"/>
      <c r="F89" s="25"/>
      <c r="G89" s="51">
        <f t="shared" si="19"/>
        <v>0</v>
      </c>
      <c r="H89" s="25"/>
      <c r="I89" s="51">
        <f t="shared" si="20"/>
        <v>0</v>
      </c>
      <c r="J89" s="27"/>
      <c r="K89" s="59">
        <f t="shared" si="21"/>
        <v>0</v>
      </c>
      <c r="L89" s="63">
        <f t="shared" si="14"/>
        <v>0</v>
      </c>
      <c r="M89" s="64">
        <f t="shared" si="15"/>
        <v>0</v>
      </c>
      <c r="N89" s="63">
        <f t="shared" si="16"/>
        <v>0</v>
      </c>
      <c r="O89" s="64">
        <f t="shared" si="17"/>
        <v>0</v>
      </c>
      <c r="P89" s="18"/>
    </row>
    <row r="90" spans="1:16" ht="15.6" x14ac:dyDescent="0.3">
      <c r="A90" s="2" t="s">
        <v>77</v>
      </c>
      <c r="B90" s="10" t="s">
        <v>78</v>
      </c>
      <c r="C90" s="29"/>
      <c r="D90" s="46">
        <f t="shared" si="18"/>
        <v>0</v>
      </c>
      <c r="E90" s="24"/>
      <c r="F90" s="25"/>
      <c r="G90" s="51">
        <f t="shared" si="19"/>
        <v>0</v>
      </c>
      <c r="H90" s="25"/>
      <c r="I90" s="51">
        <f t="shared" si="20"/>
        <v>0</v>
      </c>
      <c r="J90" s="27"/>
      <c r="K90" s="59">
        <f t="shared" si="21"/>
        <v>0</v>
      </c>
      <c r="L90" s="63">
        <f t="shared" si="14"/>
        <v>0</v>
      </c>
      <c r="M90" s="64">
        <f t="shared" si="15"/>
        <v>0</v>
      </c>
      <c r="N90" s="63">
        <f t="shared" si="16"/>
        <v>0</v>
      </c>
      <c r="O90" s="64">
        <f t="shared" si="17"/>
        <v>0</v>
      </c>
      <c r="P90" s="18"/>
    </row>
    <row r="91" spans="1:16" ht="15.6" x14ac:dyDescent="0.3">
      <c r="A91" s="18" t="s">
        <v>79</v>
      </c>
      <c r="B91" s="10" t="s">
        <v>80</v>
      </c>
      <c r="C91" s="24"/>
      <c r="D91" s="46">
        <f t="shared" si="18"/>
        <v>0</v>
      </c>
      <c r="E91" s="24"/>
      <c r="F91" s="25"/>
      <c r="G91" s="51">
        <f t="shared" si="19"/>
        <v>0</v>
      </c>
      <c r="H91" s="25"/>
      <c r="I91" s="51">
        <f t="shared" si="20"/>
        <v>0</v>
      </c>
      <c r="J91" s="27"/>
      <c r="K91" s="59">
        <f t="shared" si="21"/>
        <v>0</v>
      </c>
      <c r="L91" s="63">
        <f t="shared" si="14"/>
        <v>0</v>
      </c>
      <c r="M91" s="64">
        <f t="shared" si="15"/>
        <v>0</v>
      </c>
      <c r="N91" s="63">
        <f t="shared" si="16"/>
        <v>0</v>
      </c>
      <c r="O91" s="64">
        <f t="shared" si="17"/>
        <v>0</v>
      </c>
      <c r="P91" s="18"/>
    </row>
    <row r="92" spans="1:16" ht="15.6" x14ac:dyDescent="0.3">
      <c r="A92" s="2" t="s">
        <v>81</v>
      </c>
      <c r="B92" s="10" t="s">
        <v>82</v>
      </c>
      <c r="C92" s="24"/>
      <c r="D92" s="46">
        <f t="shared" si="18"/>
        <v>0</v>
      </c>
      <c r="E92" s="24"/>
      <c r="F92" s="25"/>
      <c r="G92" s="51">
        <f t="shared" si="19"/>
        <v>0</v>
      </c>
      <c r="H92" s="25"/>
      <c r="I92" s="51">
        <f t="shared" si="20"/>
        <v>0</v>
      </c>
      <c r="J92" s="27"/>
      <c r="K92" s="59">
        <f t="shared" si="21"/>
        <v>0</v>
      </c>
      <c r="L92" s="63">
        <f t="shared" si="14"/>
        <v>0</v>
      </c>
      <c r="M92" s="64">
        <f t="shared" si="15"/>
        <v>0</v>
      </c>
      <c r="N92" s="63">
        <f t="shared" si="16"/>
        <v>0</v>
      </c>
      <c r="O92" s="64">
        <f t="shared" si="17"/>
        <v>0</v>
      </c>
      <c r="P92" s="18"/>
    </row>
    <row r="93" spans="1:16" ht="15.6" x14ac:dyDescent="0.3">
      <c r="A93" s="2" t="s">
        <v>83</v>
      </c>
      <c r="B93" s="10" t="s">
        <v>84</v>
      </c>
      <c r="C93" s="24"/>
      <c r="D93" s="46">
        <f t="shared" si="18"/>
        <v>0</v>
      </c>
      <c r="E93" s="24"/>
      <c r="F93" s="25"/>
      <c r="G93" s="51">
        <f t="shared" si="19"/>
        <v>0</v>
      </c>
      <c r="H93" s="25"/>
      <c r="I93" s="51">
        <f t="shared" si="20"/>
        <v>0</v>
      </c>
      <c r="J93" s="27"/>
      <c r="K93" s="59">
        <f t="shared" si="21"/>
        <v>0</v>
      </c>
      <c r="L93" s="63">
        <f t="shared" si="14"/>
        <v>0</v>
      </c>
      <c r="M93" s="64">
        <f t="shared" si="15"/>
        <v>0</v>
      </c>
      <c r="N93" s="63">
        <f t="shared" si="16"/>
        <v>0</v>
      </c>
      <c r="O93" s="64">
        <f t="shared" si="17"/>
        <v>0</v>
      </c>
      <c r="P93" s="18"/>
    </row>
    <row r="94" spans="1:16" ht="15.6" x14ac:dyDescent="0.3">
      <c r="A94" s="2" t="s">
        <v>85</v>
      </c>
      <c r="B94" s="10" t="s">
        <v>86</v>
      </c>
      <c r="C94" s="29"/>
      <c r="D94" s="46">
        <f t="shared" si="18"/>
        <v>0</v>
      </c>
      <c r="E94" s="24"/>
      <c r="F94" s="25"/>
      <c r="G94" s="51">
        <f t="shared" si="19"/>
        <v>0</v>
      </c>
      <c r="H94" s="25"/>
      <c r="I94" s="51">
        <f t="shared" si="20"/>
        <v>0</v>
      </c>
      <c r="J94" s="27"/>
      <c r="K94" s="59">
        <f t="shared" si="21"/>
        <v>0</v>
      </c>
      <c r="L94" s="63">
        <f t="shared" si="14"/>
        <v>0</v>
      </c>
      <c r="M94" s="64">
        <f t="shared" si="15"/>
        <v>0</v>
      </c>
      <c r="N94" s="63">
        <f t="shared" si="16"/>
        <v>0</v>
      </c>
      <c r="O94" s="64">
        <f t="shared" si="17"/>
        <v>0</v>
      </c>
      <c r="P94" s="18"/>
    </row>
    <row r="95" spans="1:16" ht="15.6" x14ac:dyDescent="0.3">
      <c r="A95" s="2" t="s">
        <v>87</v>
      </c>
      <c r="B95" s="10" t="s">
        <v>88</v>
      </c>
      <c r="C95" s="29"/>
      <c r="D95" s="46">
        <f t="shared" si="18"/>
        <v>0</v>
      </c>
      <c r="E95" s="24"/>
      <c r="F95" s="25"/>
      <c r="G95" s="51">
        <f t="shared" si="19"/>
        <v>0</v>
      </c>
      <c r="H95" s="25"/>
      <c r="I95" s="51">
        <f t="shared" si="20"/>
        <v>0</v>
      </c>
      <c r="J95" s="27"/>
      <c r="K95" s="59">
        <f t="shared" si="21"/>
        <v>0</v>
      </c>
      <c r="L95" s="63">
        <f t="shared" si="14"/>
        <v>0</v>
      </c>
      <c r="M95" s="64">
        <f t="shared" si="15"/>
        <v>0</v>
      </c>
      <c r="N95" s="63">
        <f t="shared" si="16"/>
        <v>0</v>
      </c>
      <c r="O95" s="64">
        <f t="shared" si="17"/>
        <v>0</v>
      </c>
      <c r="P95" s="18"/>
    </row>
    <row r="96" spans="1:16" ht="15.6" x14ac:dyDescent="0.3">
      <c r="A96" s="2" t="s">
        <v>89</v>
      </c>
      <c r="B96" s="10" t="s">
        <v>90</v>
      </c>
      <c r="C96" s="24"/>
      <c r="D96" s="46">
        <f t="shared" si="18"/>
        <v>0</v>
      </c>
      <c r="E96" s="24"/>
      <c r="F96" s="25"/>
      <c r="G96" s="51">
        <f t="shared" si="19"/>
        <v>0</v>
      </c>
      <c r="H96" s="25"/>
      <c r="I96" s="51">
        <f t="shared" si="20"/>
        <v>0</v>
      </c>
      <c r="J96" s="27"/>
      <c r="K96" s="59">
        <f t="shared" si="21"/>
        <v>0</v>
      </c>
      <c r="L96" s="63">
        <f t="shared" si="14"/>
        <v>0</v>
      </c>
      <c r="M96" s="64">
        <f t="shared" si="15"/>
        <v>0</v>
      </c>
      <c r="N96" s="63">
        <f t="shared" si="16"/>
        <v>0</v>
      </c>
      <c r="O96" s="64">
        <f t="shared" si="17"/>
        <v>0</v>
      </c>
      <c r="P96" s="18"/>
    </row>
    <row r="97" spans="1:16" ht="15.6" x14ac:dyDescent="0.3">
      <c r="A97" s="2" t="s">
        <v>91</v>
      </c>
      <c r="B97" s="10" t="s">
        <v>92</v>
      </c>
      <c r="C97" s="29"/>
      <c r="D97" s="46">
        <f t="shared" si="18"/>
        <v>0</v>
      </c>
      <c r="E97" s="24"/>
      <c r="F97" s="25"/>
      <c r="G97" s="51">
        <f t="shared" si="19"/>
        <v>0</v>
      </c>
      <c r="H97" s="25"/>
      <c r="I97" s="51">
        <f t="shared" si="20"/>
        <v>0</v>
      </c>
      <c r="J97" s="27"/>
      <c r="K97" s="59">
        <f t="shared" si="21"/>
        <v>0</v>
      </c>
      <c r="L97" s="63">
        <f t="shared" si="14"/>
        <v>0</v>
      </c>
      <c r="M97" s="64">
        <f t="shared" si="15"/>
        <v>0</v>
      </c>
      <c r="N97" s="63">
        <f t="shared" si="16"/>
        <v>0</v>
      </c>
      <c r="O97" s="64">
        <f t="shared" si="17"/>
        <v>0</v>
      </c>
      <c r="P97" s="18"/>
    </row>
    <row r="98" spans="1:16" ht="15.6" x14ac:dyDescent="0.3">
      <c r="A98" s="2" t="s">
        <v>93</v>
      </c>
      <c r="B98" s="10" t="s">
        <v>94</v>
      </c>
      <c r="C98" s="29"/>
      <c r="D98" s="46">
        <f t="shared" si="18"/>
        <v>0</v>
      </c>
      <c r="E98" s="24"/>
      <c r="F98" s="25"/>
      <c r="G98" s="51">
        <f t="shared" si="19"/>
        <v>0</v>
      </c>
      <c r="H98" s="25"/>
      <c r="I98" s="51">
        <f t="shared" si="20"/>
        <v>0</v>
      </c>
      <c r="J98" s="27"/>
      <c r="K98" s="59">
        <f t="shared" si="21"/>
        <v>0</v>
      </c>
      <c r="L98" s="63">
        <f t="shared" si="14"/>
        <v>0</v>
      </c>
      <c r="M98" s="64">
        <f t="shared" si="15"/>
        <v>0</v>
      </c>
      <c r="N98" s="63">
        <f t="shared" si="16"/>
        <v>0</v>
      </c>
      <c r="O98" s="64">
        <f t="shared" si="17"/>
        <v>0</v>
      </c>
      <c r="P98" s="18"/>
    </row>
    <row r="99" spans="1:16" ht="15.6" x14ac:dyDescent="0.3">
      <c r="A99" s="21" t="s">
        <v>95</v>
      </c>
      <c r="B99" s="22" t="s">
        <v>96</v>
      </c>
      <c r="C99" s="91">
        <f>C55-C58</f>
        <v>0</v>
      </c>
      <c r="D99" s="82"/>
      <c r="E99" s="66">
        <f>E55-E58</f>
        <v>0</v>
      </c>
      <c r="F99" s="92">
        <f>F55-F58</f>
        <v>0</v>
      </c>
      <c r="G99" s="82"/>
      <c r="H99" s="92">
        <f>H55-H58</f>
        <v>0</v>
      </c>
      <c r="I99" s="82"/>
      <c r="J99" s="89">
        <f>J55-J58</f>
        <v>0</v>
      </c>
      <c r="K99" s="82"/>
      <c r="L99" s="63">
        <f t="shared" si="14"/>
        <v>0</v>
      </c>
      <c r="M99" s="64">
        <f t="shared" si="15"/>
        <v>0</v>
      </c>
      <c r="N99" s="63">
        <f t="shared" si="16"/>
        <v>0</v>
      </c>
      <c r="O99" s="64">
        <f t="shared" si="17"/>
        <v>0</v>
      </c>
      <c r="P99" s="18"/>
    </row>
    <row r="100" spans="1:16" x14ac:dyDescent="0.3">
      <c r="A100" s="30" t="s">
        <v>97</v>
      </c>
      <c r="B100" s="11" t="s">
        <v>98</v>
      </c>
      <c r="C100" s="84">
        <f>IFERROR(C99/C55,0)</f>
        <v>0</v>
      </c>
      <c r="D100" s="77"/>
      <c r="E100" s="47">
        <f>IFERROR(E99/E55,0)</f>
        <v>0</v>
      </c>
      <c r="F100" s="76">
        <f>IFERROR(F99/F55,0)</f>
        <v>0</v>
      </c>
      <c r="G100" s="77"/>
      <c r="H100" s="76">
        <f>IFERROR(H99/H55,0)</f>
        <v>0</v>
      </c>
      <c r="I100" s="77"/>
      <c r="J100" s="80">
        <f>IFERROR(J99/J55,0)</f>
        <v>0</v>
      </c>
      <c r="K100" s="77"/>
    </row>
    <row r="101" spans="1:16" x14ac:dyDescent="0.3">
      <c r="A101" s="30" t="s">
        <v>99</v>
      </c>
      <c r="B101" s="11" t="s">
        <v>100</v>
      </c>
      <c r="C101" s="84">
        <f>IFERROR(C99/C103,0)</f>
        <v>0</v>
      </c>
      <c r="D101" s="77"/>
      <c r="E101" s="47">
        <f>IFERROR(E99/C103,0)</f>
        <v>0</v>
      </c>
      <c r="F101" s="76">
        <f t="shared" ref="F101" si="22">IFERROR(F99/F103,0)</f>
        <v>0</v>
      </c>
      <c r="G101" s="77"/>
      <c r="H101" s="76">
        <f t="shared" ref="H101" si="23">IFERROR(H99/H103,0)</f>
        <v>0</v>
      </c>
      <c r="I101" s="77"/>
      <c r="J101" s="80">
        <f t="shared" ref="J101" si="24">IFERROR(J99/J103,0)</f>
        <v>0</v>
      </c>
      <c r="K101" s="77"/>
    </row>
    <row r="102" spans="1:16" x14ac:dyDescent="0.3">
      <c r="A102" s="33" t="s">
        <v>101</v>
      </c>
      <c r="B102" s="11" t="s">
        <v>102</v>
      </c>
      <c r="C102" s="84">
        <f>IFERROR(C101*12,0)</f>
        <v>0</v>
      </c>
      <c r="D102" s="77"/>
      <c r="E102" s="47">
        <f>IFERROR(E101*12,0)</f>
        <v>0</v>
      </c>
      <c r="F102" s="76">
        <f t="shared" ref="F102" si="25">IFERROR(F101*12,0)</f>
        <v>0</v>
      </c>
      <c r="G102" s="77"/>
      <c r="H102" s="76">
        <f t="shared" ref="H102" si="26">IFERROR(H101*12,0)</f>
        <v>0</v>
      </c>
      <c r="I102" s="77"/>
      <c r="J102" s="80">
        <f t="shared" ref="J102" si="27">IFERROR(J101*12,0)</f>
        <v>0</v>
      </c>
      <c r="K102" s="77"/>
    </row>
    <row r="103" spans="1:16" x14ac:dyDescent="0.3">
      <c r="A103" s="33" t="s">
        <v>103</v>
      </c>
      <c r="B103" s="12" t="s">
        <v>104</v>
      </c>
      <c r="C103" s="78">
        <v>877000</v>
      </c>
      <c r="D103" s="79"/>
      <c r="E103" s="4"/>
      <c r="F103" s="4"/>
      <c r="G103" s="53"/>
      <c r="H103" s="4"/>
      <c r="I103" s="53"/>
      <c r="J103" s="4"/>
      <c r="K103" s="53"/>
    </row>
    <row r="105" spans="1:16" ht="31.2" customHeight="1" x14ac:dyDescent="0.3">
      <c r="A105" s="74" t="s">
        <v>0</v>
      </c>
      <c r="B105" s="85" t="s">
        <v>106</v>
      </c>
      <c r="C105" s="93" t="s">
        <v>2</v>
      </c>
      <c r="D105" s="82"/>
      <c r="E105" s="90" t="s">
        <v>3</v>
      </c>
      <c r="F105" s="81" t="s">
        <v>4</v>
      </c>
      <c r="G105" s="82"/>
      <c r="H105" s="81" t="s">
        <v>5</v>
      </c>
      <c r="I105" s="82"/>
      <c r="J105" s="83" t="s">
        <v>6</v>
      </c>
      <c r="K105" s="82"/>
      <c r="L105" s="61" t="s">
        <v>129</v>
      </c>
      <c r="M105" s="62" t="s">
        <v>130</v>
      </c>
      <c r="N105" s="61" t="s">
        <v>131</v>
      </c>
      <c r="O105" s="62" t="s">
        <v>132</v>
      </c>
      <c r="P105" s="18" t="s">
        <v>122</v>
      </c>
    </row>
    <row r="106" spans="1:16" ht="27.6" x14ac:dyDescent="0.3">
      <c r="A106" s="75"/>
      <c r="B106" s="86"/>
      <c r="C106" s="39">
        <v>46204</v>
      </c>
      <c r="D106" s="44" t="s">
        <v>7</v>
      </c>
      <c r="E106" s="75"/>
      <c r="F106" s="40">
        <v>46235</v>
      </c>
      <c r="G106" s="49" t="s">
        <v>7</v>
      </c>
      <c r="H106" s="40">
        <v>46235</v>
      </c>
      <c r="I106" s="49" t="s">
        <v>7</v>
      </c>
      <c r="J106" s="41">
        <v>46266</v>
      </c>
      <c r="K106" s="55" t="s">
        <v>7</v>
      </c>
      <c r="L106" s="116">
        <f>F106</f>
        <v>46235</v>
      </c>
      <c r="M106" s="117"/>
      <c r="N106" s="116">
        <f>F106</f>
        <v>46235</v>
      </c>
      <c r="O106" s="117"/>
      <c r="P106" s="18"/>
    </row>
    <row r="107" spans="1:16" s="16" customFormat="1" ht="15.6" x14ac:dyDescent="0.3">
      <c r="A107" s="14" t="s">
        <v>8</v>
      </c>
      <c r="B107" s="15" t="s">
        <v>124</v>
      </c>
      <c r="C107" s="66">
        <f>C108+C109</f>
        <v>0</v>
      </c>
      <c r="D107" s="45"/>
      <c r="E107" s="66">
        <f>E108+E109</f>
        <v>0</v>
      </c>
      <c r="F107" s="67">
        <f>F108+F109</f>
        <v>0</v>
      </c>
      <c r="G107" s="50"/>
      <c r="H107" s="67">
        <f>H108+H109</f>
        <v>0</v>
      </c>
      <c r="I107" s="52"/>
      <c r="J107" s="23">
        <f>J108+J109</f>
        <v>0</v>
      </c>
      <c r="K107" s="56"/>
      <c r="L107" s="63">
        <f>H107-F107</f>
        <v>0</v>
      </c>
      <c r="M107" s="64">
        <f>IFERROR(L107/F107,0)</f>
        <v>0</v>
      </c>
      <c r="N107" s="63">
        <f>H107-C107</f>
        <v>0</v>
      </c>
      <c r="O107" s="64">
        <f>IFERROR(N107/C107,0)</f>
        <v>0</v>
      </c>
      <c r="P107" s="19"/>
    </row>
    <row r="108" spans="1:16" ht="15.6" x14ac:dyDescent="0.3">
      <c r="A108" s="2" t="s">
        <v>9</v>
      </c>
      <c r="B108" s="6" t="s">
        <v>10</v>
      </c>
      <c r="C108" s="24"/>
      <c r="D108" s="46"/>
      <c r="E108" s="24"/>
      <c r="F108" s="25"/>
      <c r="G108" s="51"/>
      <c r="H108" s="26"/>
      <c r="I108" s="51"/>
      <c r="J108" s="27"/>
      <c r="K108" s="57"/>
      <c r="L108" s="63">
        <f t="shared" ref="L108:L151" si="28">H108-F108</f>
        <v>0</v>
      </c>
      <c r="M108" s="64">
        <f t="shared" ref="M108:M151" si="29">IFERROR(L108/F108,0)</f>
        <v>0</v>
      </c>
      <c r="N108" s="63">
        <f t="shared" ref="N108:N151" si="30">H108-C108</f>
        <v>0</v>
      </c>
      <c r="O108" s="64">
        <f t="shared" ref="O108:O151" si="31">IFERROR(N108/C108,0)</f>
        <v>0</v>
      </c>
      <c r="P108" s="19"/>
    </row>
    <row r="109" spans="1:16" ht="15.6" x14ac:dyDescent="0.3">
      <c r="A109" s="2" t="s">
        <v>11</v>
      </c>
      <c r="B109" s="6" t="s">
        <v>12</v>
      </c>
      <c r="C109" s="24"/>
      <c r="D109" s="46"/>
      <c r="E109" s="24"/>
      <c r="F109" s="25"/>
      <c r="G109" s="51"/>
      <c r="H109" s="25"/>
      <c r="I109" s="51"/>
      <c r="J109" s="27"/>
      <c r="K109" s="57"/>
      <c r="L109" s="63">
        <f t="shared" si="28"/>
        <v>0</v>
      </c>
      <c r="M109" s="64">
        <f t="shared" si="29"/>
        <v>0</v>
      </c>
      <c r="N109" s="63">
        <f t="shared" si="30"/>
        <v>0</v>
      </c>
      <c r="O109" s="64">
        <f t="shared" si="31"/>
        <v>0</v>
      </c>
      <c r="P109" s="65"/>
    </row>
    <row r="110" spans="1:16" s="16" customFormat="1" ht="15.6" x14ac:dyDescent="0.3">
      <c r="A110" s="14" t="s">
        <v>13</v>
      </c>
      <c r="B110" s="22" t="s">
        <v>14</v>
      </c>
      <c r="C110" s="66">
        <f>C114+C115+C116+C125+C126+C127+C111</f>
        <v>0</v>
      </c>
      <c r="D110" s="45"/>
      <c r="E110" s="66">
        <f>E114+E115+E116+E125+E126+E127+E111</f>
        <v>0</v>
      </c>
      <c r="F110" s="67">
        <f>F114+F115+F116+F125+F126+F127+F111</f>
        <v>0</v>
      </c>
      <c r="G110" s="52"/>
      <c r="H110" s="67">
        <f>H114+H115+H116+H125+H126+H127+H111</f>
        <v>0</v>
      </c>
      <c r="I110" s="52"/>
      <c r="J110" s="23">
        <f>J114+J115+J116+J125+J126+J127+J111</f>
        <v>0</v>
      </c>
      <c r="K110" s="58"/>
      <c r="L110" s="63">
        <f t="shared" si="28"/>
        <v>0</v>
      </c>
      <c r="M110" s="64">
        <f t="shared" si="29"/>
        <v>0</v>
      </c>
      <c r="N110" s="63">
        <f t="shared" si="30"/>
        <v>0</v>
      </c>
      <c r="O110" s="64">
        <f t="shared" si="31"/>
        <v>0</v>
      </c>
      <c r="P110" s="18"/>
    </row>
    <row r="111" spans="1:16" ht="15.6" x14ac:dyDescent="0.3">
      <c r="A111" s="17" t="s">
        <v>15</v>
      </c>
      <c r="B111" s="7" t="s">
        <v>16</v>
      </c>
      <c r="C111" s="24">
        <f>C112+C113</f>
        <v>0</v>
      </c>
      <c r="D111" s="46">
        <f>IFERROR(C111/$C$110,0)</f>
        <v>0</v>
      </c>
      <c r="E111" s="24">
        <f>E113+E112</f>
        <v>0</v>
      </c>
      <c r="F111" s="25">
        <f>F113+F112</f>
        <v>0</v>
      </c>
      <c r="G111" s="51">
        <f>IFERROR(F111/$F$110,0)</f>
        <v>0</v>
      </c>
      <c r="H111" s="25">
        <f>H112+H113</f>
        <v>0</v>
      </c>
      <c r="I111" s="51">
        <f>IFERROR(H111/$H$110,0)</f>
        <v>0</v>
      </c>
      <c r="J111" s="27">
        <f>J112+J113</f>
        <v>0</v>
      </c>
      <c r="K111" s="59">
        <f>IFERROR(J111/$J$110,0)</f>
        <v>0</v>
      </c>
      <c r="L111" s="63">
        <f t="shared" si="28"/>
        <v>0</v>
      </c>
      <c r="M111" s="64">
        <f t="shared" si="29"/>
        <v>0</v>
      </c>
      <c r="N111" s="63">
        <f t="shared" si="30"/>
        <v>0</v>
      </c>
      <c r="O111" s="64">
        <f t="shared" si="31"/>
        <v>0</v>
      </c>
      <c r="P111" s="18"/>
    </row>
    <row r="112" spans="1:16" ht="15.6" x14ac:dyDescent="0.3">
      <c r="A112" s="2" t="s">
        <v>17</v>
      </c>
      <c r="B112" s="8" t="s">
        <v>18</v>
      </c>
      <c r="C112" s="24"/>
      <c r="D112" s="46">
        <f t="shared" ref="D112:D150" si="32">IFERROR(C112/$C$110,0)</f>
        <v>0</v>
      </c>
      <c r="E112" s="24"/>
      <c r="F112" s="25"/>
      <c r="G112" s="51">
        <f t="shared" ref="G112:G150" si="33">IFERROR(F112/$F$110,0)</f>
        <v>0</v>
      </c>
      <c r="H112" s="25"/>
      <c r="I112" s="51">
        <f t="shared" ref="I112:I150" si="34">IFERROR(H112/$H$110,0)</f>
        <v>0</v>
      </c>
      <c r="J112" s="27"/>
      <c r="K112" s="59">
        <f t="shared" ref="K112:K150" si="35">IFERROR(J112/$J$110,0)</f>
        <v>0</v>
      </c>
      <c r="L112" s="63">
        <f t="shared" si="28"/>
        <v>0</v>
      </c>
      <c r="M112" s="64">
        <f t="shared" si="29"/>
        <v>0</v>
      </c>
      <c r="N112" s="63">
        <f t="shared" si="30"/>
        <v>0</v>
      </c>
      <c r="O112" s="64">
        <f t="shared" si="31"/>
        <v>0</v>
      </c>
      <c r="P112" s="18"/>
    </row>
    <row r="113" spans="1:16" ht="15.6" x14ac:dyDescent="0.3">
      <c r="A113" s="18" t="s">
        <v>19</v>
      </c>
      <c r="B113" s="8" t="s">
        <v>20</v>
      </c>
      <c r="C113" s="24"/>
      <c r="D113" s="46">
        <f t="shared" si="32"/>
        <v>0</v>
      </c>
      <c r="E113" s="24"/>
      <c r="F113" s="25"/>
      <c r="G113" s="51">
        <f t="shared" si="33"/>
        <v>0</v>
      </c>
      <c r="H113" s="25"/>
      <c r="I113" s="51">
        <f t="shared" si="34"/>
        <v>0</v>
      </c>
      <c r="J113" s="27"/>
      <c r="K113" s="59">
        <f t="shared" si="35"/>
        <v>0</v>
      </c>
      <c r="L113" s="63">
        <f t="shared" si="28"/>
        <v>0</v>
      </c>
      <c r="M113" s="64">
        <f t="shared" si="29"/>
        <v>0</v>
      </c>
      <c r="N113" s="63">
        <f t="shared" si="30"/>
        <v>0</v>
      </c>
      <c r="O113" s="64">
        <f t="shared" si="31"/>
        <v>0</v>
      </c>
      <c r="P113" s="18"/>
    </row>
    <row r="114" spans="1:16" ht="15.6" x14ac:dyDescent="0.3">
      <c r="A114" s="2" t="s">
        <v>21</v>
      </c>
      <c r="B114" s="7" t="s">
        <v>22</v>
      </c>
      <c r="C114" s="24"/>
      <c r="D114" s="46">
        <f t="shared" si="32"/>
        <v>0</v>
      </c>
      <c r="E114" s="24"/>
      <c r="F114" s="25"/>
      <c r="G114" s="51">
        <f t="shared" si="33"/>
        <v>0</v>
      </c>
      <c r="H114" s="25"/>
      <c r="I114" s="51">
        <f t="shared" si="34"/>
        <v>0</v>
      </c>
      <c r="J114" s="27"/>
      <c r="K114" s="59">
        <f t="shared" si="35"/>
        <v>0</v>
      </c>
      <c r="L114" s="63">
        <f t="shared" si="28"/>
        <v>0</v>
      </c>
      <c r="M114" s="64">
        <f t="shared" si="29"/>
        <v>0</v>
      </c>
      <c r="N114" s="63">
        <f t="shared" si="30"/>
        <v>0</v>
      </c>
      <c r="O114" s="64">
        <f t="shared" si="31"/>
        <v>0</v>
      </c>
      <c r="P114" s="18"/>
    </row>
    <row r="115" spans="1:16" ht="15.6" x14ac:dyDescent="0.3">
      <c r="A115" s="2" t="s">
        <v>23</v>
      </c>
      <c r="B115" s="7" t="s">
        <v>24</v>
      </c>
      <c r="C115" s="24"/>
      <c r="D115" s="46">
        <f t="shared" si="32"/>
        <v>0</v>
      </c>
      <c r="E115" s="24"/>
      <c r="F115" s="25"/>
      <c r="G115" s="51">
        <f t="shared" si="33"/>
        <v>0</v>
      </c>
      <c r="H115" s="25"/>
      <c r="I115" s="51">
        <f t="shared" si="34"/>
        <v>0</v>
      </c>
      <c r="J115" s="27"/>
      <c r="K115" s="59">
        <f t="shared" si="35"/>
        <v>0</v>
      </c>
      <c r="L115" s="63">
        <f t="shared" si="28"/>
        <v>0</v>
      </c>
      <c r="M115" s="64">
        <f t="shared" si="29"/>
        <v>0</v>
      </c>
      <c r="N115" s="63">
        <f t="shared" si="30"/>
        <v>0</v>
      </c>
      <c r="O115" s="64">
        <f t="shared" si="31"/>
        <v>0</v>
      </c>
      <c r="P115" s="18"/>
    </row>
    <row r="116" spans="1:16" ht="15.6" x14ac:dyDescent="0.3">
      <c r="A116" s="2" t="s">
        <v>25</v>
      </c>
      <c r="B116" s="7" t="s">
        <v>26</v>
      </c>
      <c r="C116" s="24">
        <f>SUM(C117:C124)</f>
        <v>0</v>
      </c>
      <c r="D116" s="46">
        <f t="shared" si="32"/>
        <v>0</v>
      </c>
      <c r="E116" s="24">
        <f>SUM(E117:E124)</f>
        <v>0</v>
      </c>
      <c r="F116" s="25">
        <f>SUM(F117:F124)</f>
        <v>0</v>
      </c>
      <c r="G116" s="51">
        <f t="shared" si="33"/>
        <v>0</v>
      </c>
      <c r="H116" s="25">
        <f>SUM(H117:H124)</f>
        <v>0</v>
      </c>
      <c r="I116" s="51">
        <f t="shared" si="34"/>
        <v>0</v>
      </c>
      <c r="J116" s="27">
        <f>SUM(J117:J124)</f>
        <v>0</v>
      </c>
      <c r="K116" s="59">
        <f t="shared" si="35"/>
        <v>0</v>
      </c>
      <c r="L116" s="63">
        <f t="shared" si="28"/>
        <v>0</v>
      </c>
      <c r="M116" s="64">
        <f t="shared" si="29"/>
        <v>0</v>
      </c>
      <c r="N116" s="63">
        <f t="shared" si="30"/>
        <v>0</v>
      </c>
      <c r="O116" s="64">
        <f t="shared" si="31"/>
        <v>0</v>
      </c>
      <c r="P116" s="18"/>
    </row>
    <row r="117" spans="1:16" ht="15.6" x14ac:dyDescent="0.3">
      <c r="A117" s="2" t="s">
        <v>27</v>
      </c>
      <c r="B117" s="9" t="s">
        <v>28</v>
      </c>
      <c r="C117" s="24"/>
      <c r="D117" s="46">
        <f t="shared" si="32"/>
        <v>0</v>
      </c>
      <c r="E117" s="24"/>
      <c r="F117" s="25"/>
      <c r="G117" s="51">
        <f t="shared" si="33"/>
        <v>0</v>
      </c>
      <c r="H117" s="25"/>
      <c r="I117" s="51">
        <f t="shared" si="34"/>
        <v>0</v>
      </c>
      <c r="J117" s="27"/>
      <c r="K117" s="59">
        <f t="shared" si="35"/>
        <v>0</v>
      </c>
      <c r="L117" s="63">
        <f t="shared" si="28"/>
        <v>0</v>
      </c>
      <c r="M117" s="64">
        <f t="shared" si="29"/>
        <v>0</v>
      </c>
      <c r="N117" s="63">
        <f t="shared" si="30"/>
        <v>0</v>
      </c>
      <c r="O117" s="64">
        <f t="shared" si="31"/>
        <v>0</v>
      </c>
      <c r="P117" s="18"/>
    </row>
    <row r="118" spans="1:16" ht="15.6" x14ac:dyDescent="0.3">
      <c r="A118" s="2" t="s">
        <v>29</v>
      </c>
      <c r="B118" s="9" t="s">
        <v>30</v>
      </c>
      <c r="C118" s="24"/>
      <c r="D118" s="46">
        <f t="shared" si="32"/>
        <v>0</v>
      </c>
      <c r="E118" s="24"/>
      <c r="F118" s="25"/>
      <c r="G118" s="51">
        <f t="shared" si="33"/>
        <v>0</v>
      </c>
      <c r="H118" s="25"/>
      <c r="I118" s="51">
        <f t="shared" si="34"/>
        <v>0</v>
      </c>
      <c r="J118" s="27"/>
      <c r="K118" s="59">
        <f t="shared" si="35"/>
        <v>0</v>
      </c>
      <c r="L118" s="63">
        <f t="shared" si="28"/>
        <v>0</v>
      </c>
      <c r="M118" s="64">
        <f t="shared" si="29"/>
        <v>0</v>
      </c>
      <c r="N118" s="63">
        <f t="shared" si="30"/>
        <v>0</v>
      </c>
      <c r="O118" s="64">
        <f t="shared" si="31"/>
        <v>0</v>
      </c>
      <c r="P118" s="18"/>
    </row>
    <row r="119" spans="1:16" ht="15.6" x14ac:dyDescent="0.3">
      <c r="A119" s="2" t="s">
        <v>31</v>
      </c>
      <c r="B119" s="9" t="s">
        <v>32</v>
      </c>
      <c r="C119" s="24"/>
      <c r="D119" s="46">
        <f t="shared" si="32"/>
        <v>0</v>
      </c>
      <c r="E119" s="24"/>
      <c r="F119" s="25"/>
      <c r="G119" s="51">
        <f t="shared" si="33"/>
        <v>0</v>
      </c>
      <c r="H119" s="25"/>
      <c r="I119" s="51">
        <f t="shared" si="34"/>
        <v>0</v>
      </c>
      <c r="J119" s="27"/>
      <c r="K119" s="59">
        <f t="shared" si="35"/>
        <v>0</v>
      </c>
      <c r="L119" s="63">
        <f t="shared" si="28"/>
        <v>0</v>
      </c>
      <c r="M119" s="64">
        <f t="shared" si="29"/>
        <v>0</v>
      </c>
      <c r="N119" s="63">
        <f t="shared" si="30"/>
        <v>0</v>
      </c>
      <c r="O119" s="64">
        <f t="shared" si="31"/>
        <v>0</v>
      </c>
      <c r="P119" s="18"/>
    </row>
    <row r="120" spans="1:16" ht="15.6" x14ac:dyDescent="0.3">
      <c r="A120" s="2" t="s">
        <v>33</v>
      </c>
      <c r="B120" s="9" t="s">
        <v>34</v>
      </c>
      <c r="C120" s="24"/>
      <c r="D120" s="46">
        <f t="shared" si="32"/>
        <v>0</v>
      </c>
      <c r="E120" s="24"/>
      <c r="F120" s="25"/>
      <c r="G120" s="51">
        <f t="shared" si="33"/>
        <v>0</v>
      </c>
      <c r="H120" s="25"/>
      <c r="I120" s="51">
        <f t="shared" si="34"/>
        <v>0</v>
      </c>
      <c r="J120" s="27"/>
      <c r="K120" s="59">
        <f t="shared" si="35"/>
        <v>0</v>
      </c>
      <c r="L120" s="63">
        <f t="shared" si="28"/>
        <v>0</v>
      </c>
      <c r="M120" s="64">
        <f t="shared" si="29"/>
        <v>0</v>
      </c>
      <c r="N120" s="63">
        <f t="shared" si="30"/>
        <v>0</v>
      </c>
      <c r="O120" s="64">
        <f t="shared" si="31"/>
        <v>0</v>
      </c>
      <c r="P120" s="18"/>
    </row>
    <row r="121" spans="1:16" ht="15.6" x14ac:dyDescent="0.3">
      <c r="A121" s="2" t="s">
        <v>35</v>
      </c>
      <c r="B121" s="9" t="s">
        <v>36</v>
      </c>
      <c r="C121" s="24"/>
      <c r="D121" s="46">
        <f t="shared" si="32"/>
        <v>0</v>
      </c>
      <c r="E121" s="24"/>
      <c r="F121" s="25"/>
      <c r="G121" s="51">
        <f t="shared" si="33"/>
        <v>0</v>
      </c>
      <c r="H121" s="25"/>
      <c r="I121" s="51">
        <f t="shared" si="34"/>
        <v>0</v>
      </c>
      <c r="J121" s="27"/>
      <c r="K121" s="59">
        <f t="shared" si="35"/>
        <v>0</v>
      </c>
      <c r="L121" s="63">
        <f t="shared" si="28"/>
        <v>0</v>
      </c>
      <c r="M121" s="64">
        <f t="shared" si="29"/>
        <v>0</v>
      </c>
      <c r="N121" s="63">
        <f t="shared" si="30"/>
        <v>0</v>
      </c>
      <c r="O121" s="64">
        <f t="shared" si="31"/>
        <v>0</v>
      </c>
      <c r="P121" s="18"/>
    </row>
    <row r="122" spans="1:16" ht="27.6" x14ac:dyDescent="0.3">
      <c r="A122" s="2" t="s">
        <v>37</v>
      </c>
      <c r="B122" s="9" t="s">
        <v>38</v>
      </c>
      <c r="C122" s="24"/>
      <c r="D122" s="46">
        <f t="shared" si="32"/>
        <v>0</v>
      </c>
      <c r="E122" s="24"/>
      <c r="F122" s="25"/>
      <c r="G122" s="51">
        <f t="shared" si="33"/>
        <v>0</v>
      </c>
      <c r="H122" s="25"/>
      <c r="I122" s="51">
        <f t="shared" si="34"/>
        <v>0</v>
      </c>
      <c r="J122" s="27"/>
      <c r="K122" s="59">
        <f t="shared" si="35"/>
        <v>0</v>
      </c>
      <c r="L122" s="63">
        <f t="shared" si="28"/>
        <v>0</v>
      </c>
      <c r="M122" s="64">
        <f t="shared" si="29"/>
        <v>0</v>
      </c>
      <c r="N122" s="63">
        <f t="shared" si="30"/>
        <v>0</v>
      </c>
      <c r="O122" s="64">
        <f t="shared" si="31"/>
        <v>0</v>
      </c>
      <c r="P122" s="18"/>
    </row>
    <row r="123" spans="1:16" ht="15.6" x14ac:dyDescent="0.3">
      <c r="A123" s="2" t="s">
        <v>39</v>
      </c>
      <c r="B123" s="9" t="s">
        <v>40</v>
      </c>
      <c r="C123" s="24"/>
      <c r="D123" s="46">
        <f t="shared" si="32"/>
        <v>0</v>
      </c>
      <c r="E123" s="24"/>
      <c r="F123" s="25"/>
      <c r="G123" s="51">
        <f t="shared" si="33"/>
        <v>0</v>
      </c>
      <c r="H123" s="25"/>
      <c r="I123" s="51">
        <f t="shared" si="34"/>
        <v>0</v>
      </c>
      <c r="J123" s="27"/>
      <c r="K123" s="59">
        <f t="shared" si="35"/>
        <v>0</v>
      </c>
      <c r="L123" s="63">
        <f t="shared" si="28"/>
        <v>0</v>
      </c>
      <c r="M123" s="64">
        <f t="shared" si="29"/>
        <v>0</v>
      </c>
      <c r="N123" s="63">
        <f t="shared" si="30"/>
        <v>0</v>
      </c>
      <c r="O123" s="64">
        <f t="shared" si="31"/>
        <v>0</v>
      </c>
      <c r="P123" s="18"/>
    </row>
    <row r="124" spans="1:16" ht="15.6" x14ac:dyDescent="0.3">
      <c r="A124" s="2" t="s">
        <v>41</v>
      </c>
      <c r="B124" s="9" t="s">
        <v>42</v>
      </c>
      <c r="C124" s="24"/>
      <c r="D124" s="46">
        <f t="shared" si="32"/>
        <v>0</v>
      </c>
      <c r="E124" s="24"/>
      <c r="F124" s="25"/>
      <c r="G124" s="51">
        <f t="shared" si="33"/>
        <v>0</v>
      </c>
      <c r="H124" s="25"/>
      <c r="I124" s="51">
        <f t="shared" si="34"/>
        <v>0</v>
      </c>
      <c r="J124" s="27"/>
      <c r="K124" s="59">
        <f t="shared" si="35"/>
        <v>0</v>
      </c>
      <c r="L124" s="63">
        <f t="shared" si="28"/>
        <v>0</v>
      </c>
      <c r="M124" s="64">
        <f t="shared" si="29"/>
        <v>0</v>
      </c>
      <c r="N124" s="63">
        <f t="shared" si="30"/>
        <v>0</v>
      </c>
      <c r="O124" s="64">
        <f t="shared" si="31"/>
        <v>0</v>
      </c>
      <c r="P124" s="18"/>
    </row>
    <row r="125" spans="1:16" ht="15.6" x14ac:dyDescent="0.3">
      <c r="A125" s="2" t="s">
        <v>43</v>
      </c>
      <c r="B125" s="7" t="s">
        <v>44</v>
      </c>
      <c r="C125" s="24"/>
      <c r="D125" s="46">
        <f t="shared" si="32"/>
        <v>0</v>
      </c>
      <c r="E125" s="24"/>
      <c r="F125" s="25"/>
      <c r="G125" s="51">
        <f t="shared" si="33"/>
        <v>0</v>
      </c>
      <c r="H125" s="25"/>
      <c r="I125" s="51">
        <f t="shared" si="34"/>
        <v>0</v>
      </c>
      <c r="J125" s="27"/>
      <c r="K125" s="59">
        <f t="shared" si="35"/>
        <v>0</v>
      </c>
      <c r="L125" s="63">
        <f t="shared" si="28"/>
        <v>0</v>
      </c>
      <c r="M125" s="64">
        <f t="shared" si="29"/>
        <v>0</v>
      </c>
      <c r="N125" s="63">
        <f t="shared" si="30"/>
        <v>0</v>
      </c>
      <c r="O125" s="64">
        <f t="shared" si="31"/>
        <v>0</v>
      </c>
      <c r="P125" s="18"/>
    </row>
    <row r="126" spans="1:16" ht="15.6" x14ac:dyDescent="0.3">
      <c r="A126" s="2" t="s">
        <v>45</v>
      </c>
      <c r="B126" s="7" t="s">
        <v>46</v>
      </c>
      <c r="C126" s="24"/>
      <c r="D126" s="46">
        <f t="shared" si="32"/>
        <v>0</v>
      </c>
      <c r="E126" s="24"/>
      <c r="F126" s="25"/>
      <c r="G126" s="51">
        <f t="shared" si="33"/>
        <v>0</v>
      </c>
      <c r="H126" s="25"/>
      <c r="I126" s="51">
        <f t="shared" si="34"/>
        <v>0</v>
      </c>
      <c r="J126" s="27"/>
      <c r="K126" s="59">
        <f t="shared" si="35"/>
        <v>0</v>
      </c>
      <c r="L126" s="63">
        <f t="shared" si="28"/>
        <v>0</v>
      </c>
      <c r="M126" s="64">
        <f t="shared" si="29"/>
        <v>0</v>
      </c>
      <c r="N126" s="63">
        <f t="shared" si="30"/>
        <v>0</v>
      </c>
      <c r="O126" s="64">
        <f t="shared" si="31"/>
        <v>0</v>
      </c>
      <c r="P126" s="18"/>
    </row>
    <row r="127" spans="1:16" s="16" customFormat="1" ht="15.6" x14ac:dyDescent="0.3">
      <c r="A127" s="14" t="s">
        <v>47</v>
      </c>
      <c r="B127" s="22" t="s">
        <v>48</v>
      </c>
      <c r="C127" s="66">
        <f>SUM(C128:C150)</f>
        <v>0</v>
      </c>
      <c r="D127" s="46">
        <f t="shared" si="32"/>
        <v>0</v>
      </c>
      <c r="E127" s="66">
        <f>SUM(E128:E150)</f>
        <v>0</v>
      </c>
      <c r="F127" s="67">
        <f>SUM(F128:F150)</f>
        <v>0</v>
      </c>
      <c r="G127" s="51">
        <f t="shared" si="33"/>
        <v>0</v>
      </c>
      <c r="H127" s="67">
        <f>SUM(H128:H150)</f>
        <v>0</v>
      </c>
      <c r="I127" s="51">
        <f t="shared" si="34"/>
        <v>0</v>
      </c>
      <c r="J127" s="23">
        <f>SUM(J128:J150)</f>
        <v>0</v>
      </c>
      <c r="K127" s="59">
        <f t="shared" si="35"/>
        <v>0</v>
      </c>
      <c r="L127" s="63">
        <f t="shared" si="28"/>
        <v>0</v>
      </c>
      <c r="M127" s="64">
        <f t="shared" si="29"/>
        <v>0</v>
      </c>
      <c r="N127" s="63">
        <f t="shared" si="30"/>
        <v>0</v>
      </c>
      <c r="O127" s="64">
        <f t="shared" si="31"/>
        <v>0</v>
      </c>
      <c r="P127" s="18"/>
    </row>
    <row r="128" spans="1:16" ht="15.6" x14ac:dyDescent="0.3">
      <c r="A128" s="2" t="s">
        <v>49</v>
      </c>
      <c r="B128" s="10" t="s">
        <v>50</v>
      </c>
      <c r="C128" s="29"/>
      <c r="D128" s="46">
        <f t="shared" si="32"/>
        <v>0</v>
      </c>
      <c r="E128" s="24"/>
      <c r="F128" s="25"/>
      <c r="G128" s="51">
        <f t="shared" si="33"/>
        <v>0</v>
      </c>
      <c r="H128" s="25"/>
      <c r="I128" s="51">
        <f t="shared" si="34"/>
        <v>0</v>
      </c>
      <c r="J128" s="27"/>
      <c r="K128" s="59">
        <f t="shared" si="35"/>
        <v>0</v>
      </c>
      <c r="L128" s="63">
        <f t="shared" si="28"/>
        <v>0</v>
      </c>
      <c r="M128" s="64">
        <f t="shared" si="29"/>
        <v>0</v>
      </c>
      <c r="N128" s="63">
        <f t="shared" si="30"/>
        <v>0</v>
      </c>
      <c r="O128" s="64">
        <f t="shared" si="31"/>
        <v>0</v>
      </c>
      <c r="P128" s="18"/>
    </row>
    <row r="129" spans="1:16" ht="15.6" x14ac:dyDescent="0.3">
      <c r="A129" s="2" t="s">
        <v>51</v>
      </c>
      <c r="B129" s="10" t="s">
        <v>52</v>
      </c>
      <c r="C129" s="24"/>
      <c r="D129" s="46">
        <f t="shared" si="32"/>
        <v>0</v>
      </c>
      <c r="E129" s="24"/>
      <c r="F129" s="25"/>
      <c r="G129" s="51">
        <f t="shared" si="33"/>
        <v>0</v>
      </c>
      <c r="H129" s="25"/>
      <c r="I129" s="51">
        <f t="shared" si="34"/>
        <v>0</v>
      </c>
      <c r="J129" s="27"/>
      <c r="K129" s="59">
        <f t="shared" si="35"/>
        <v>0</v>
      </c>
      <c r="L129" s="63">
        <f t="shared" si="28"/>
        <v>0</v>
      </c>
      <c r="M129" s="64">
        <f t="shared" si="29"/>
        <v>0</v>
      </c>
      <c r="N129" s="63">
        <f t="shared" si="30"/>
        <v>0</v>
      </c>
      <c r="O129" s="64">
        <f t="shared" si="31"/>
        <v>0</v>
      </c>
      <c r="P129" s="18"/>
    </row>
    <row r="130" spans="1:16" ht="15.6" x14ac:dyDescent="0.3">
      <c r="A130" s="2" t="s">
        <v>53</v>
      </c>
      <c r="B130" s="10" t="s">
        <v>54</v>
      </c>
      <c r="C130" s="24"/>
      <c r="D130" s="46">
        <f t="shared" si="32"/>
        <v>0</v>
      </c>
      <c r="E130" s="24"/>
      <c r="F130" s="25"/>
      <c r="G130" s="51">
        <f t="shared" si="33"/>
        <v>0</v>
      </c>
      <c r="H130" s="25"/>
      <c r="I130" s="51">
        <f t="shared" si="34"/>
        <v>0</v>
      </c>
      <c r="J130" s="27"/>
      <c r="K130" s="59">
        <f t="shared" si="35"/>
        <v>0</v>
      </c>
      <c r="L130" s="63">
        <f t="shared" si="28"/>
        <v>0</v>
      </c>
      <c r="M130" s="64">
        <f t="shared" si="29"/>
        <v>0</v>
      </c>
      <c r="N130" s="63">
        <f t="shared" si="30"/>
        <v>0</v>
      </c>
      <c r="O130" s="64">
        <f t="shared" si="31"/>
        <v>0</v>
      </c>
      <c r="P130" s="18"/>
    </row>
    <row r="131" spans="1:16" ht="15.6" x14ac:dyDescent="0.3">
      <c r="A131" s="2" t="s">
        <v>55</v>
      </c>
      <c r="B131" s="10" t="s">
        <v>56</v>
      </c>
      <c r="C131" s="24"/>
      <c r="D131" s="46">
        <f t="shared" si="32"/>
        <v>0</v>
      </c>
      <c r="E131" s="24"/>
      <c r="F131" s="25"/>
      <c r="G131" s="51">
        <f t="shared" si="33"/>
        <v>0</v>
      </c>
      <c r="H131" s="25"/>
      <c r="I131" s="51">
        <f t="shared" si="34"/>
        <v>0</v>
      </c>
      <c r="J131" s="27"/>
      <c r="K131" s="59">
        <f t="shared" si="35"/>
        <v>0</v>
      </c>
      <c r="L131" s="63">
        <f t="shared" si="28"/>
        <v>0</v>
      </c>
      <c r="M131" s="64">
        <f t="shared" si="29"/>
        <v>0</v>
      </c>
      <c r="N131" s="63">
        <f t="shared" si="30"/>
        <v>0</v>
      </c>
      <c r="O131" s="64">
        <f t="shared" si="31"/>
        <v>0</v>
      </c>
      <c r="P131" s="18"/>
    </row>
    <row r="132" spans="1:16" ht="15.6" x14ac:dyDescent="0.3">
      <c r="A132" s="2" t="s">
        <v>57</v>
      </c>
      <c r="B132" s="10" t="s">
        <v>58</v>
      </c>
      <c r="C132" s="29"/>
      <c r="D132" s="46">
        <f t="shared" si="32"/>
        <v>0</v>
      </c>
      <c r="E132" s="24"/>
      <c r="F132" s="25"/>
      <c r="G132" s="51">
        <f t="shared" si="33"/>
        <v>0</v>
      </c>
      <c r="H132" s="25"/>
      <c r="I132" s="51">
        <f t="shared" si="34"/>
        <v>0</v>
      </c>
      <c r="J132" s="27"/>
      <c r="K132" s="59">
        <f t="shared" si="35"/>
        <v>0</v>
      </c>
      <c r="L132" s="63">
        <f t="shared" si="28"/>
        <v>0</v>
      </c>
      <c r="M132" s="64">
        <f t="shared" si="29"/>
        <v>0</v>
      </c>
      <c r="N132" s="63">
        <f t="shared" si="30"/>
        <v>0</v>
      </c>
      <c r="O132" s="64">
        <f t="shared" si="31"/>
        <v>0</v>
      </c>
      <c r="P132" s="18"/>
    </row>
    <row r="133" spans="1:16" ht="15.6" x14ac:dyDescent="0.3">
      <c r="A133" s="2" t="s">
        <v>59</v>
      </c>
      <c r="B133" s="10" t="s">
        <v>60</v>
      </c>
      <c r="C133" s="24"/>
      <c r="D133" s="46">
        <f t="shared" si="32"/>
        <v>0</v>
      </c>
      <c r="E133" s="24"/>
      <c r="F133" s="25"/>
      <c r="G133" s="51">
        <f t="shared" si="33"/>
        <v>0</v>
      </c>
      <c r="H133" s="25"/>
      <c r="I133" s="51">
        <f t="shared" si="34"/>
        <v>0</v>
      </c>
      <c r="J133" s="27"/>
      <c r="K133" s="59">
        <f t="shared" si="35"/>
        <v>0</v>
      </c>
      <c r="L133" s="63">
        <f t="shared" si="28"/>
        <v>0</v>
      </c>
      <c r="M133" s="64">
        <f t="shared" si="29"/>
        <v>0</v>
      </c>
      <c r="N133" s="63">
        <f t="shared" si="30"/>
        <v>0</v>
      </c>
      <c r="O133" s="64">
        <f t="shared" si="31"/>
        <v>0</v>
      </c>
      <c r="P133" s="18"/>
    </row>
    <row r="134" spans="1:16" ht="15.6" x14ac:dyDescent="0.3">
      <c r="A134" s="2" t="s">
        <v>61</v>
      </c>
      <c r="B134" s="10" t="s">
        <v>62</v>
      </c>
      <c r="C134" s="29"/>
      <c r="D134" s="46">
        <f t="shared" si="32"/>
        <v>0</v>
      </c>
      <c r="E134" s="24"/>
      <c r="F134" s="25"/>
      <c r="G134" s="51">
        <f t="shared" si="33"/>
        <v>0</v>
      </c>
      <c r="H134" s="25"/>
      <c r="I134" s="51">
        <f t="shared" si="34"/>
        <v>0</v>
      </c>
      <c r="J134" s="27"/>
      <c r="K134" s="59">
        <f t="shared" si="35"/>
        <v>0</v>
      </c>
      <c r="L134" s="63">
        <f t="shared" si="28"/>
        <v>0</v>
      </c>
      <c r="M134" s="64">
        <f t="shared" si="29"/>
        <v>0</v>
      </c>
      <c r="N134" s="63">
        <f t="shared" si="30"/>
        <v>0</v>
      </c>
      <c r="O134" s="64">
        <f t="shared" si="31"/>
        <v>0</v>
      </c>
      <c r="P134" s="18"/>
    </row>
    <row r="135" spans="1:16" ht="15.6" x14ac:dyDescent="0.3">
      <c r="A135" s="2" t="s">
        <v>63</v>
      </c>
      <c r="B135" s="10" t="s">
        <v>64</v>
      </c>
      <c r="C135" s="24"/>
      <c r="D135" s="46">
        <f t="shared" si="32"/>
        <v>0</v>
      </c>
      <c r="E135" s="24"/>
      <c r="F135" s="25"/>
      <c r="G135" s="51">
        <f t="shared" si="33"/>
        <v>0</v>
      </c>
      <c r="H135" s="25"/>
      <c r="I135" s="51">
        <f t="shared" si="34"/>
        <v>0</v>
      </c>
      <c r="J135" s="27"/>
      <c r="K135" s="59">
        <f t="shared" si="35"/>
        <v>0</v>
      </c>
      <c r="L135" s="63">
        <f t="shared" si="28"/>
        <v>0</v>
      </c>
      <c r="M135" s="64">
        <f t="shared" si="29"/>
        <v>0</v>
      </c>
      <c r="N135" s="63">
        <f t="shared" si="30"/>
        <v>0</v>
      </c>
      <c r="O135" s="64">
        <f t="shared" si="31"/>
        <v>0</v>
      </c>
      <c r="P135" s="18"/>
    </row>
    <row r="136" spans="1:16" ht="15.6" x14ac:dyDescent="0.3">
      <c r="A136" s="2" t="s">
        <v>65</v>
      </c>
      <c r="B136" s="10" t="s">
        <v>66</v>
      </c>
      <c r="C136" s="29"/>
      <c r="D136" s="46">
        <f t="shared" si="32"/>
        <v>0</v>
      </c>
      <c r="E136" s="24"/>
      <c r="F136" s="25"/>
      <c r="G136" s="51">
        <f t="shared" si="33"/>
        <v>0</v>
      </c>
      <c r="H136" s="25"/>
      <c r="I136" s="51">
        <f t="shared" si="34"/>
        <v>0</v>
      </c>
      <c r="J136" s="27"/>
      <c r="K136" s="59">
        <f t="shared" si="35"/>
        <v>0</v>
      </c>
      <c r="L136" s="63">
        <f t="shared" si="28"/>
        <v>0</v>
      </c>
      <c r="M136" s="64">
        <f t="shared" si="29"/>
        <v>0</v>
      </c>
      <c r="N136" s="63">
        <f t="shared" si="30"/>
        <v>0</v>
      </c>
      <c r="O136" s="64">
        <f t="shared" si="31"/>
        <v>0</v>
      </c>
      <c r="P136" s="18"/>
    </row>
    <row r="137" spans="1:16" ht="15.6" x14ac:dyDescent="0.3">
      <c r="A137" s="2" t="s">
        <v>67</v>
      </c>
      <c r="B137" s="10" t="s">
        <v>68</v>
      </c>
      <c r="C137" s="29"/>
      <c r="D137" s="46">
        <f t="shared" si="32"/>
        <v>0</v>
      </c>
      <c r="E137" s="24"/>
      <c r="F137" s="25"/>
      <c r="G137" s="51">
        <f t="shared" si="33"/>
        <v>0</v>
      </c>
      <c r="H137" s="25"/>
      <c r="I137" s="51">
        <f t="shared" si="34"/>
        <v>0</v>
      </c>
      <c r="J137" s="27"/>
      <c r="K137" s="59">
        <f t="shared" si="35"/>
        <v>0</v>
      </c>
      <c r="L137" s="63">
        <f t="shared" si="28"/>
        <v>0</v>
      </c>
      <c r="M137" s="64">
        <f t="shared" si="29"/>
        <v>0</v>
      </c>
      <c r="N137" s="63">
        <f t="shared" si="30"/>
        <v>0</v>
      </c>
      <c r="O137" s="64">
        <f t="shared" si="31"/>
        <v>0</v>
      </c>
      <c r="P137" s="18"/>
    </row>
    <row r="138" spans="1:16" ht="15.6" x14ac:dyDescent="0.3">
      <c r="A138" s="2" t="s">
        <v>69</v>
      </c>
      <c r="B138" s="10" t="s">
        <v>70</v>
      </c>
      <c r="C138" s="29"/>
      <c r="D138" s="46">
        <f t="shared" si="32"/>
        <v>0</v>
      </c>
      <c r="E138" s="24"/>
      <c r="F138" s="25"/>
      <c r="G138" s="51">
        <f t="shared" si="33"/>
        <v>0</v>
      </c>
      <c r="H138" s="25"/>
      <c r="I138" s="51">
        <f t="shared" si="34"/>
        <v>0</v>
      </c>
      <c r="J138" s="27"/>
      <c r="K138" s="59">
        <f t="shared" si="35"/>
        <v>0</v>
      </c>
      <c r="L138" s="63">
        <f t="shared" si="28"/>
        <v>0</v>
      </c>
      <c r="M138" s="64">
        <f t="shared" si="29"/>
        <v>0</v>
      </c>
      <c r="N138" s="63">
        <f t="shared" si="30"/>
        <v>0</v>
      </c>
      <c r="O138" s="64">
        <f t="shared" si="31"/>
        <v>0</v>
      </c>
      <c r="P138" s="18"/>
    </row>
    <row r="139" spans="1:16" ht="15.6" x14ac:dyDescent="0.3">
      <c r="A139" s="31" t="s">
        <v>71</v>
      </c>
      <c r="B139" s="10" t="s">
        <v>72</v>
      </c>
      <c r="C139" s="29"/>
      <c r="D139" s="46">
        <f t="shared" si="32"/>
        <v>0</v>
      </c>
      <c r="E139" s="24"/>
      <c r="F139" s="25"/>
      <c r="G139" s="51">
        <f t="shared" si="33"/>
        <v>0</v>
      </c>
      <c r="H139" s="25"/>
      <c r="I139" s="51">
        <f t="shared" si="34"/>
        <v>0</v>
      </c>
      <c r="J139" s="27"/>
      <c r="K139" s="59">
        <f t="shared" si="35"/>
        <v>0</v>
      </c>
      <c r="L139" s="63">
        <f t="shared" si="28"/>
        <v>0</v>
      </c>
      <c r="M139" s="64">
        <f t="shared" si="29"/>
        <v>0</v>
      </c>
      <c r="N139" s="63">
        <f t="shared" si="30"/>
        <v>0</v>
      </c>
      <c r="O139" s="64">
        <f t="shared" si="31"/>
        <v>0</v>
      </c>
      <c r="P139" s="18"/>
    </row>
    <row r="140" spans="1:16" ht="15.6" x14ac:dyDescent="0.3">
      <c r="A140" s="2" t="s">
        <v>73</v>
      </c>
      <c r="B140" s="10" t="s">
        <v>74</v>
      </c>
      <c r="C140" s="24"/>
      <c r="D140" s="46">
        <f t="shared" si="32"/>
        <v>0</v>
      </c>
      <c r="E140" s="24"/>
      <c r="F140" s="25"/>
      <c r="G140" s="51">
        <f t="shared" si="33"/>
        <v>0</v>
      </c>
      <c r="H140" s="25"/>
      <c r="I140" s="51">
        <f t="shared" si="34"/>
        <v>0</v>
      </c>
      <c r="J140" s="27"/>
      <c r="K140" s="59">
        <f t="shared" si="35"/>
        <v>0</v>
      </c>
      <c r="L140" s="63">
        <f t="shared" si="28"/>
        <v>0</v>
      </c>
      <c r="M140" s="64">
        <f t="shared" si="29"/>
        <v>0</v>
      </c>
      <c r="N140" s="63">
        <f t="shared" si="30"/>
        <v>0</v>
      </c>
      <c r="O140" s="64">
        <f t="shared" si="31"/>
        <v>0</v>
      </c>
      <c r="P140" s="18"/>
    </row>
    <row r="141" spans="1:16" ht="15.6" x14ac:dyDescent="0.3">
      <c r="A141" s="18" t="s">
        <v>75</v>
      </c>
      <c r="B141" s="10" t="s">
        <v>76</v>
      </c>
      <c r="C141" s="29"/>
      <c r="D141" s="46">
        <f t="shared" si="32"/>
        <v>0</v>
      </c>
      <c r="E141" s="24"/>
      <c r="F141" s="25"/>
      <c r="G141" s="51">
        <f t="shared" si="33"/>
        <v>0</v>
      </c>
      <c r="H141" s="25"/>
      <c r="I141" s="51">
        <f t="shared" si="34"/>
        <v>0</v>
      </c>
      <c r="J141" s="27"/>
      <c r="K141" s="59">
        <f t="shared" si="35"/>
        <v>0</v>
      </c>
      <c r="L141" s="63">
        <f t="shared" si="28"/>
        <v>0</v>
      </c>
      <c r="M141" s="64">
        <f t="shared" si="29"/>
        <v>0</v>
      </c>
      <c r="N141" s="63">
        <f t="shared" si="30"/>
        <v>0</v>
      </c>
      <c r="O141" s="64">
        <f t="shared" si="31"/>
        <v>0</v>
      </c>
      <c r="P141" s="18"/>
    </row>
    <row r="142" spans="1:16" ht="15.6" x14ac:dyDescent="0.3">
      <c r="A142" s="2" t="s">
        <v>77</v>
      </c>
      <c r="B142" s="10" t="s">
        <v>78</v>
      </c>
      <c r="C142" s="29"/>
      <c r="D142" s="46">
        <f t="shared" si="32"/>
        <v>0</v>
      </c>
      <c r="E142" s="24"/>
      <c r="F142" s="25"/>
      <c r="G142" s="51">
        <f t="shared" si="33"/>
        <v>0</v>
      </c>
      <c r="H142" s="25"/>
      <c r="I142" s="51">
        <f t="shared" si="34"/>
        <v>0</v>
      </c>
      <c r="J142" s="27"/>
      <c r="K142" s="59">
        <f t="shared" si="35"/>
        <v>0</v>
      </c>
      <c r="L142" s="63">
        <f t="shared" si="28"/>
        <v>0</v>
      </c>
      <c r="M142" s="64">
        <f t="shared" si="29"/>
        <v>0</v>
      </c>
      <c r="N142" s="63">
        <f t="shared" si="30"/>
        <v>0</v>
      </c>
      <c r="O142" s="64">
        <f t="shared" si="31"/>
        <v>0</v>
      </c>
      <c r="P142" s="18"/>
    </row>
    <row r="143" spans="1:16" ht="15.6" x14ac:dyDescent="0.3">
      <c r="A143" s="18" t="s">
        <v>79</v>
      </c>
      <c r="B143" s="10" t="s">
        <v>80</v>
      </c>
      <c r="C143" s="24"/>
      <c r="D143" s="46">
        <f t="shared" si="32"/>
        <v>0</v>
      </c>
      <c r="E143" s="24"/>
      <c r="F143" s="25"/>
      <c r="G143" s="51">
        <f t="shared" si="33"/>
        <v>0</v>
      </c>
      <c r="H143" s="25"/>
      <c r="I143" s="51">
        <f t="shared" si="34"/>
        <v>0</v>
      </c>
      <c r="J143" s="27"/>
      <c r="K143" s="59">
        <f t="shared" si="35"/>
        <v>0</v>
      </c>
      <c r="L143" s="63">
        <f t="shared" si="28"/>
        <v>0</v>
      </c>
      <c r="M143" s="64">
        <f t="shared" si="29"/>
        <v>0</v>
      </c>
      <c r="N143" s="63">
        <f t="shared" si="30"/>
        <v>0</v>
      </c>
      <c r="O143" s="64">
        <f t="shared" si="31"/>
        <v>0</v>
      </c>
      <c r="P143" s="18"/>
    </row>
    <row r="144" spans="1:16" ht="15.6" x14ac:dyDescent="0.3">
      <c r="A144" s="2" t="s">
        <v>81</v>
      </c>
      <c r="B144" s="10" t="s">
        <v>82</v>
      </c>
      <c r="C144" s="24"/>
      <c r="D144" s="46">
        <f t="shared" si="32"/>
        <v>0</v>
      </c>
      <c r="E144" s="24"/>
      <c r="F144" s="25"/>
      <c r="G144" s="51">
        <f t="shared" si="33"/>
        <v>0</v>
      </c>
      <c r="H144" s="25"/>
      <c r="I144" s="51">
        <f t="shared" si="34"/>
        <v>0</v>
      </c>
      <c r="J144" s="27"/>
      <c r="K144" s="59">
        <f t="shared" si="35"/>
        <v>0</v>
      </c>
      <c r="L144" s="63">
        <f t="shared" si="28"/>
        <v>0</v>
      </c>
      <c r="M144" s="64">
        <f t="shared" si="29"/>
        <v>0</v>
      </c>
      <c r="N144" s="63">
        <f t="shared" si="30"/>
        <v>0</v>
      </c>
      <c r="O144" s="64">
        <f t="shared" si="31"/>
        <v>0</v>
      </c>
      <c r="P144" s="18"/>
    </row>
    <row r="145" spans="1:16" ht="15.6" x14ac:dyDescent="0.3">
      <c r="A145" s="2" t="s">
        <v>83</v>
      </c>
      <c r="B145" s="10" t="s">
        <v>84</v>
      </c>
      <c r="C145" s="24"/>
      <c r="D145" s="46">
        <f t="shared" si="32"/>
        <v>0</v>
      </c>
      <c r="E145" s="24"/>
      <c r="F145" s="25"/>
      <c r="G145" s="51">
        <f t="shared" si="33"/>
        <v>0</v>
      </c>
      <c r="H145" s="25"/>
      <c r="I145" s="51">
        <f t="shared" si="34"/>
        <v>0</v>
      </c>
      <c r="J145" s="27"/>
      <c r="K145" s="59">
        <f t="shared" si="35"/>
        <v>0</v>
      </c>
      <c r="L145" s="63">
        <f t="shared" si="28"/>
        <v>0</v>
      </c>
      <c r="M145" s="64">
        <f t="shared" si="29"/>
        <v>0</v>
      </c>
      <c r="N145" s="63">
        <f t="shared" si="30"/>
        <v>0</v>
      </c>
      <c r="O145" s="64">
        <f t="shared" si="31"/>
        <v>0</v>
      </c>
      <c r="P145" s="18"/>
    </row>
    <row r="146" spans="1:16" ht="15.6" x14ac:dyDescent="0.3">
      <c r="A146" s="2" t="s">
        <v>85</v>
      </c>
      <c r="B146" s="10" t="s">
        <v>86</v>
      </c>
      <c r="C146" s="29"/>
      <c r="D146" s="46">
        <f t="shared" si="32"/>
        <v>0</v>
      </c>
      <c r="E146" s="24"/>
      <c r="F146" s="25"/>
      <c r="G146" s="51">
        <f t="shared" si="33"/>
        <v>0</v>
      </c>
      <c r="H146" s="25"/>
      <c r="I146" s="51">
        <f t="shared" si="34"/>
        <v>0</v>
      </c>
      <c r="J146" s="27"/>
      <c r="K146" s="59">
        <f t="shared" si="35"/>
        <v>0</v>
      </c>
      <c r="L146" s="63">
        <f t="shared" si="28"/>
        <v>0</v>
      </c>
      <c r="M146" s="64">
        <f t="shared" si="29"/>
        <v>0</v>
      </c>
      <c r="N146" s="63">
        <f t="shared" si="30"/>
        <v>0</v>
      </c>
      <c r="O146" s="64">
        <f t="shared" si="31"/>
        <v>0</v>
      </c>
      <c r="P146" s="18"/>
    </row>
    <row r="147" spans="1:16" ht="15.6" x14ac:dyDescent="0.3">
      <c r="A147" s="2" t="s">
        <v>87</v>
      </c>
      <c r="B147" s="10" t="s">
        <v>88</v>
      </c>
      <c r="C147" s="29"/>
      <c r="D147" s="46">
        <f t="shared" si="32"/>
        <v>0</v>
      </c>
      <c r="E147" s="24"/>
      <c r="F147" s="25"/>
      <c r="G147" s="51">
        <f t="shared" si="33"/>
        <v>0</v>
      </c>
      <c r="H147" s="25"/>
      <c r="I147" s="51">
        <f t="shared" si="34"/>
        <v>0</v>
      </c>
      <c r="J147" s="27"/>
      <c r="K147" s="59">
        <f t="shared" si="35"/>
        <v>0</v>
      </c>
      <c r="L147" s="63">
        <f t="shared" si="28"/>
        <v>0</v>
      </c>
      <c r="M147" s="64">
        <f t="shared" si="29"/>
        <v>0</v>
      </c>
      <c r="N147" s="63">
        <f t="shared" si="30"/>
        <v>0</v>
      </c>
      <c r="O147" s="64">
        <f t="shared" si="31"/>
        <v>0</v>
      </c>
      <c r="P147" s="18"/>
    </row>
    <row r="148" spans="1:16" ht="15.6" x14ac:dyDescent="0.3">
      <c r="A148" s="2" t="s">
        <v>89</v>
      </c>
      <c r="B148" s="10" t="s">
        <v>90</v>
      </c>
      <c r="C148" s="24"/>
      <c r="D148" s="46">
        <f t="shared" si="32"/>
        <v>0</v>
      </c>
      <c r="E148" s="24"/>
      <c r="F148" s="25"/>
      <c r="G148" s="51">
        <f t="shared" si="33"/>
        <v>0</v>
      </c>
      <c r="H148" s="25"/>
      <c r="I148" s="51">
        <f t="shared" si="34"/>
        <v>0</v>
      </c>
      <c r="J148" s="27"/>
      <c r="K148" s="59">
        <f t="shared" si="35"/>
        <v>0</v>
      </c>
      <c r="L148" s="63">
        <f t="shared" si="28"/>
        <v>0</v>
      </c>
      <c r="M148" s="64">
        <f t="shared" si="29"/>
        <v>0</v>
      </c>
      <c r="N148" s="63">
        <f t="shared" si="30"/>
        <v>0</v>
      </c>
      <c r="O148" s="64">
        <f t="shared" si="31"/>
        <v>0</v>
      </c>
      <c r="P148" s="18"/>
    </row>
    <row r="149" spans="1:16" ht="15.6" x14ac:dyDescent="0.3">
      <c r="A149" s="2" t="s">
        <v>91</v>
      </c>
      <c r="B149" s="10" t="s">
        <v>92</v>
      </c>
      <c r="C149" s="29"/>
      <c r="D149" s="46">
        <f t="shared" si="32"/>
        <v>0</v>
      </c>
      <c r="E149" s="24"/>
      <c r="F149" s="25"/>
      <c r="G149" s="51">
        <f t="shared" si="33"/>
        <v>0</v>
      </c>
      <c r="H149" s="25"/>
      <c r="I149" s="51">
        <f t="shared" si="34"/>
        <v>0</v>
      </c>
      <c r="J149" s="27"/>
      <c r="K149" s="59">
        <f t="shared" si="35"/>
        <v>0</v>
      </c>
      <c r="L149" s="63">
        <f t="shared" si="28"/>
        <v>0</v>
      </c>
      <c r="M149" s="64">
        <f t="shared" si="29"/>
        <v>0</v>
      </c>
      <c r="N149" s="63">
        <f t="shared" si="30"/>
        <v>0</v>
      </c>
      <c r="O149" s="64">
        <f t="shared" si="31"/>
        <v>0</v>
      </c>
      <c r="P149" s="18"/>
    </row>
    <row r="150" spans="1:16" ht="15.6" x14ac:dyDescent="0.3">
      <c r="A150" s="2" t="s">
        <v>93</v>
      </c>
      <c r="B150" s="10" t="s">
        <v>94</v>
      </c>
      <c r="C150" s="29"/>
      <c r="D150" s="46">
        <f t="shared" si="32"/>
        <v>0</v>
      </c>
      <c r="E150" s="24"/>
      <c r="F150" s="25"/>
      <c r="G150" s="51">
        <f t="shared" si="33"/>
        <v>0</v>
      </c>
      <c r="H150" s="25"/>
      <c r="I150" s="51">
        <f t="shared" si="34"/>
        <v>0</v>
      </c>
      <c r="J150" s="27"/>
      <c r="K150" s="59">
        <f t="shared" si="35"/>
        <v>0</v>
      </c>
      <c r="L150" s="63">
        <f t="shared" si="28"/>
        <v>0</v>
      </c>
      <c r="M150" s="64">
        <f t="shared" si="29"/>
        <v>0</v>
      </c>
      <c r="N150" s="63">
        <f t="shared" si="30"/>
        <v>0</v>
      </c>
      <c r="O150" s="64">
        <f t="shared" si="31"/>
        <v>0</v>
      </c>
      <c r="P150" s="18"/>
    </row>
    <row r="151" spans="1:16" ht="15.6" x14ac:dyDescent="0.3">
      <c r="A151" s="21" t="s">
        <v>95</v>
      </c>
      <c r="B151" s="22" t="s">
        <v>96</v>
      </c>
      <c r="C151" s="91">
        <f>C107-C110</f>
        <v>0</v>
      </c>
      <c r="D151" s="82"/>
      <c r="E151" s="66">
        <f>E107-E110</f>
        <v>0</v>
      </c>
      <c r="F151" s="92">
        <f>F107-F110</f>
        <v>0</v>
      </c>
      <c r="G151" s="82"/>
      <c r="H151" s="92">
        <f>H107-H110</f>
        <v>0</v>
      </c>
      <c r="I151" s="82"/>
      <c r="J151" s="89">
        <f>J107-J110</f>
        <v>0</v>
      </c>
      <c r="K151" s="82"/>
      <c r="L151" s="63">
        <f t="shared" si="28"/>
        <v>0</v>
      </c>
      <c r="M151" s="64">
        <f t="shared" si="29"/>
        <v>0</v>
      </c>
      <c r="N151" s="63">
        <f t="shared" si="30"/>
        <v>0</v>
      </c>
      <c r="O151" s="64">
        <f t="shared" si="31"/>
        <v>0</v>
      </c>
      <c r="P151" s="18"/>
    </row>
    <row r="152" spans="1:16" x14ac:dyDescent="0.3">
      <c r="A152" s="30" t="s">
        <v>97</v>
      </c>
      <c r="B152" s="11" t="s">
        <v>98</v>
      </c>
      <c r="C152" s="84">
        <f>IFERROR(C151/C107,0)</f>
        <v>0</v>
      </c>
      <c r="D152" s="77"/>
      <c r="E152" s="47">
        <f>IFERROR(E151/E107,0)</f>
        <v>0</v>
      </c>
      <c r="F152" s="76">
        <f>IFERROR(F151/F107,0)</f>
        <v>0</v>
      </c>
      <c r="G152" s="77"/>
      <c r="H152" s="76">
        <f>IFERROR(H151/H107,0)</f>
        <v>0</v>
      </c>
      <c r="I152" s="77"/>
      <c r="J152" s="80">
        <f>IFERROR(J151/J107,0)</f>
        <v>0</v>
      </c>
      <c r="K152" s="77"/>
    </row>
    <row r="153" spans="1:16" x14ac:dyDescent="0.3">
      <c r="A153" s="30" t="s">
        <v>99</v>
      </c>
      <c r="B153" s="11" t="s">
        <v>100</v>
      </c>
      <c r="C153" s="84">
        <f>IFERROR(C151/C155,0)</f>
        <v>0</v>
      </c>
      <c r="D153" s="77"/>
      <c r="E153" s="47">
        <f>IFERROR(E151/C155,0)</f>
        <v>0</v>
      </c>
      <c r="F153" s="76">
        <f t="shared" ref="F153" si="36">IFERROR(F151/F155,0)</f>
        <v>0</v>
      </c>
      <c r="G153" s="77"/>
      <c r="H153" s="76">
        <f t="shared" ref="H153" si="37">IFERROR(H151/H155,0)</f>
        <v>0</v>
      </c>
      <c r="I153" s="77"/>
      <c r="J153" s="80">
        <f t="shared" ref="J153" si="38">IFERROR(J151/J155,0)</f>
        <v>0</v>
      </c>
      <c r="K153" s="77"/>
    </row>
    <row r="154" spans="1:16" x14ac:dyDescent="0.3">
      <c r="A154" s="33" t="s">
        <v>101</v>
      </c>
      <c r="B154" s="11" t="s">
        <v>102</v>
      </c>
      <c r="C154" s="84">
        <f>IFERROR(C153*12,0)</f>
        <v>0</v>
      </c>
      <c r="D154" s="77"/>
      <c r="E154" s="47">
        <f>IFERROR(E153*12,0)</f>
        <v>0</v>
      </c>
      <c r="F154" s="76">
        <f t="shared" ref="F154" si="39">IFERROR(F153*12,0)</f>
        <v>0</v>
      </c>
      <c r="G154" s="77"/>
      <c r="H154" s="76">
        <f t="shared" ref="H154" si="40">IFERROR(H153*12,0)</f>
        <v>0</v>
      </c>
      <c r="I154" s="77"/>
      <c r="J154" s="80">
        <f t="shared" ref="J154" si="41">IFERROR(J153*12,0)</f>
        <v>0</v>
      </c>
      <c r="K154" s="77"/>
    </row>
    <row r="155" spans="1:16" x14ac:dyDescent="0.3">
      <c r="A155" s="33" t="s">
        <v>103</v>
      </c>
      <c r="B155" s="12" t="s">
        <v>104</v>
      </c>
      <c r="C155" s="78">
        <v>383000</v>
      </c>
      <c r="D155" s="79"/>
      <c r="E155" s="4"/>
      <c r="F155" s="4"/>
      <c r="G155" s="53"/>
      <c r="H155" s="4"/>
      <c r="I155" s="53"/>
      <c r="J155" s="4"/>
      <c r="K155" s="53"/>
    </row>
    <row r="157" spans="1:16" ht="34.200000000000003" customHeight="1" x14ac:dyDescent="0.3">
      <c r="A157" s="94" t="s">
        <v>0</v>
      </c>
      <c r="B157" s="85" t="s">
        <v>107</v>
      </c>
      <c r="C157" s="93" t="s">
        <v>2</v>
      </c>
      <c r="D157" s="82"/>
      <c r="E157" s="90" t="s">
        <v>3</v>
      </c>
      <c r="F157" s="81" t="s">
        <v>4</v>
      </c>
      <c r="G157" s="82"/>
      <c r="H157" s="81" t="s">
        <v>5</v>
      </c>
      <c r="I157" s="82"/>
      <c r="J157" s="83" t="s">
        <v>6</v>
      </c>
      <c r="K157" s="82"/>
      <c r="L157" s="61" t="s">
        <v>129</v>
      </c>
      <c r="M157" s="62" t="s">
        <v>130</v>
      </c>
      <c r="N157" s="61" t="s">
        <v>131</v>
      </c>
      <c r="O157" s="62" t="s">
        <v>132</v>
      </c>
      <c r="P157" s="18" t="s">
        <v>122</v>
      </c>
    </row>
    <row r="158" spans="1:16" ht="27.6" x14ac:dyDescent="0.3">
      <c r="A158" s="95"/>
      <c r="B158" s="86"/>
      <c r="C158" s="39">
        <v>46204</v>
      </c>
      <c r="D158" s="44" t="s">
        <v>7</v>
      </c>
      <c r="E158" s="75"/>
      <c r="F158" s="40">
        <v>46235</v>
      </c>
      <c r="G158" s="49" t="s">
        <v>7</v>
      </c>
      <c r="H158" s="40">
        <v>46235</v>
      </c>
      <c r="I158" s="49" t="s">
        <v>7</v>
      </c>
      <c r="J158" s="41">
        <v>46266</v>
      </c>
      <c r="K158" s="55" t="s">
        <v>7</v>
      </c>
      <c r="L158" s="116">
        <f>F158</f>
        <v>46235</v>
      </c>
      <c r="M158" s="117"/>
      <c r="N158" s="116">
        <f>F158</f>
        <v>46235</v>
      </c>
      <c r="O158" s="117"/>
      <c r="P158" s="18"/>
    </row>
    <row r="159" spans="1:16" ht="15.6" x14ac:dyDescent="0.3">
      <c r="A159" s="14" t="s">
        <v>8</v>
      </c>
      <c r="B159" s="15" t="s">
        <v>124</v>
      </c>
      <c r="C159" s="66">
        <f>C160+C161</f>
        <v>0</v>
      </c>
      <c r="D159" s="45"/>
      <c r="E159" s="66">
        <f>E160+E161</f>
        <v>0</v>
      </c>
      <c r="F159" s="67">
        <f>F160+F161</f>
        <v>0</v>
      </c>
      <c r="G159" s="50"/>
      <c r="H159" s="67">
        <f>H160+H161</f>
        <v>0</v>
      </c>
      <c r="I159" s="52"/>
      <c r="J159" s="23">
        <f>J160+J161</f>
        <v>0</v>
      </c>
      <c r="K159" s="56"/>
      <c r="L159" s="63">
        <f>H159-F159</f>
        <v>0</v>
      </c>
      <c r="M159" s="64">
        <f>IFERROR(L159/F159,0)</f>
        <v>0</v>
      </c>
      <c r="N159" s="63">
        <f>H159-C159</f>
        <v>0</v>
      </c>
      <c r="O159" s="64">
        <f>IFERROR(N159/C159,0)</f>
        <v>0</v>
      </c>
      <c r="P159" s="19"/>
    </row>
    <row r="160" spans="1:16" ht="15.6" x14ac:dyDescent="0.3">
      <c r="A160" s="2" t="s">
        <v>9</v>
      </c>
      <c r="B160" s="6" t="s">
        <v>10</v>
      </c>
      <c r="C160" s="24"/>
      <c r="D160" s="46"/>
      <c r="E160" s="24"/>
      <c r="F160" s="25"/>
      <c r="G160" s="51"/>
      <c r="H160" s="26"/>
      <c r="I160" s="51"/>
      <c r="J160" s="27"/>
      <c r="K160" s="57"/>
      <c r="L160" s="63">
        <f t="shared" ref="L160:L203" si="42">H160-F160</f>
        <v>0</v>
      </c>
      <c r="M160" s="64">
        <f t="shared" ref="M160:M203" si="43">IFERROR(L160/F160,0)</f>
        <v>0</v>
      </c>
      <c r="N160" s="63">
        <f t="shared" ref="N160:N203" si="44">H160-C160</f>
        <v>0</v>
      </c>
      <c r="O160" s="64">
        <f t="shared" ref="O160:O203" si="45">IFERROR(N160/C160,0)</f>
        <v>0</v>
      </c>
      <c r="P160" s="19"/>
    </row>
    <row r="161" spans="1:16" ht="15.6" x14ac:dyDescent="0.3">
      <c r="A161" s="2" t="s">
        <v>11</v>
      </c>
      <c r="B161" s="6" t="s">
        <v>12</v>
      </c>
      <c r="C161" s="24"/>
      <c r="D161" s="46"/>
      <c r="E161" s="24"/>
      <c r="F161" s="25"/>
      <c r="G161" s="51"/>
      <c r="H161" s="25"/>
      <c r="I161" s="51"/>
      <c r="J161" s="27"/>
      <c r="K161" s="57"/>
      <c r="L161" s="63">
        <f t="shared" si="42"/>
        <v>0</v>
      </c>
      <c r="M161" s="64">
        <f t="shared" si="43"/>
        <v>0</v>
      </c>
      <c r="N161" s="63">
        <f t="shared" si="44"/>
        <v>0</v>
      </c>
      <c r="O161" s="64">
        <f t="shared" si="45"/>
        <v>0</v>
      </c>
      <c r="P161" s="65"/>
    </row>
    <row r="162" spans="1:16" ht="15.6" x14ac:dyDescent="0.3">
      <c r="A162" s="14" t="s">
        <v>13</v>
      </c>
      <c r="B162" s="22" t="s">
        <v>14</v>
      </c>
      <c r="C162" s="66">
        <f>C166+C167+C168+C177+C178+C179+C163</f>
        <v>0</v>
      </c>
      <c r="D162" s="45"/>
      <c r="E162" s="66">
        <f>E166+E167+E168+E177+E178+E179+E163</f>
        <v>0</v>
      </c>
      <c r="F162" s="67">
        <f>F166+F167+F168+F177+F178+F179+F163</f>
        <v>0</v>
      </c>
      <c r="G162" s="52"/>
      <c r="H162" s="67">
        <f>H166+H167+H168+H177+H178+H179+H163</f>
        <v>0</v>
      </c>
      <c r="I162" s="52"/>
      <c r="J162" s="23">
        <f>J166+J167+J168+J177+J178+J179+J163</f>
        <v>0</v>
      </c>
      <c r="K162" s="58"/>
      <c r="L162" s="63">
        <f t="shared" si="42"/>
        <v>0</v>
      </c>
      <c r="M162" s="64">
        <f t="shared" si="43"/>
        <v>0</v>
      </c>
      <c r="N162" s="63">
        <f t="shared" si="44"/>
        <v>0</v>
      </c>
      <c r="O162" s="64">
        <f t="shared" si="45"/>
        <v>0</v>
      </c>
      <c r="P162" s="18"/>
    </row>
    <row r="163" spans="1:16" ht="15.6" x14ac:dyDescent="0.3">
      <c r="A163" s="17" t="s">
        <v>15</v>
      </c>
      <c r="B163" s="7" t="s">
        <v>16</v>
      </c>
      <c r="C163" s="24">
        <f>C164+C165</f>
        <v>0</v>
      </c>
      <c r="D163" s="46">
        <f>IFERROR(C163/$C$162,0)</f>
        <v>0</v>
      </c>
      <c r="E163" s="24">
        <f>E165+E164</f>
        <v>0</v>
      </c>
      <c r="F163" s="25">
        <f>F165+F164</f>
        <v>0</v>
      </c>
      <c r="G163" s="51">
        <f>IFERROR(F163/$F$162,0)</f>
        <v>0</v>
      </c>
      <c r="H163" s="25">
        <f>H164+H165</f>
        <v>0</v>
      </c>
      <c r="I163" s="51">
        <f>IFERROR(H163/$H$162,0)</f>
        <v>0</v>
      </c>
      <c r="J163" s="27">
        <f>J164+J165</f>
        <v>0</v>
      </c>
      <c r="K163" s="59">
        <f>IFERROR(J163/$J$162,0)</f>
        <v>0</v>
      </c>
      <c r="L163" s="63">
        <f t="shared" si="42"/>
        <v>0</v>
      </c>
      <c r="M163" s="64">
        <f t="shared" si="43"/>
        <v>0</v>
      </c>
      <c r="N163" s="63">
        <f t="shared" si="44"/>
        <v>0</v>
      </c>
      <c r="O163" s="64">
        <f t="shared" si="45"/>
        <v>0</v>
      </c>
      <c r="P163" s="18"/>
    </row>
    <row r="164" spans="1:16" ht="15.6" x14ac:dyDescent="0.3">
      <c r="A164" s="2" t="s">
        <v>17</v>
      </c>
      <c r="B164" s="8" t="s">
        <v>18</v>
      </c>
      <c r="C164" s="24"/>
      <c r="D164" s="46">
        <f t="shared" ref="D164:D202" si="46">IFERROR(C164/$C$162,0)</f>
        <v>0</v>
      </c>
      <c r="E164" s="24"/>
      <c r="F164" s="25"/>
      <c r="G164" s="51">
        <f t="shared" ref="G164:G202" si="47">IFERROR(F164/$F$162,0)</f>
        <v>0</v>
      </c>
      <c r="H164" s="25"/>
      <c r="I164" s="51">
        <f t="shared" ref="I164:I202" si="48">IFERROR(H164/$H$162,0)</f>
        <v>0</v>
      </c>
      <c r="J164" s="27"/>
      <c r="K164" s="59">
        <f t="shared" ref="K164:K202" si="49">IFERROR(J164/$J$162,0)</f>
        <v>0</v>
      </c>
      <c r="L164" s="63">
        <f t="shared" si="42"/>
        <v>0</v>
      </c>
      <c r="M164" s="64">
        <f t="shared" si="43"/>
        <v>0</v>
      </c>
      <c r="N164" s="63">
        <f t="shared" si="44"/>
        <v>0</v>
      </c>
      <c r="O164" s="64">
        <f t="shared" si="45"/>
        <v>0</v>
      </c>
      <c r="P164" s="18"/>
    </row>
    <row r="165" spans="1:16" ht="15.6" x14ac:dyDescent="0.3">
      <c r="A165" s="18" t="s">
        <v>19</v>
      </c>
      <c r="B165" s="8" t="s">
        <v>20</v>
      </c>
      <c r="C165" s="24"/>
      <c r="D165" s="46">
        <f t="shared" si="46"/>
        <v>0</v>
      </c>
      <c r="E165" s="24"/>
      <c r="F165" s="25"/>
      <c r="G165" s="51">
        <f t="shared" si="47"/>
        <v>0</v>
      </c>
      <c r="H165" s="25"/>
      <c r="I165" s="51">
        <f t="shared" si="48"/>
        <v>0</v>
      </c>
      <c r="J165" s="27"/>
      <c r="K165" s="59">
        <f t="shared" si="49"/>
        <v>0</v>
      </c>
      <c r="L165" s="63">
        <f t="shared" si="42"/>
        <v>0</v>
      </c>
      <c r="M165" s="64">
        <f t="shared" si="43"/>
        <v>0</v>
      </c>
      <c r="N165" s="63">
        <f t="shared" si="44"/>
        <v>0</v>
      </c>
      <c r="O165" s="64">
        <f t="shared" si="45"/>
        <v>0</v>
      </c>
      <c r="P165" s="18"/>
    </row>
    <row r="166" spans="1:16" ht="15.6" x14ac:dyDescent="0.3">
      <c r="A166" s="2" t="s">
        <v>21</v>
      </c>
      <c r="B166" s="7" t="s">
        <v>22</v>
      </c>
      <c r="C166" s="24"/>
      <c r="D166" s="46">
        <f t="shared" si="46"/>
        <v>0</v>
      </c>
      <c r="E166" s="24"/>
      <c r="F166" s="25"/>
      <c r="G166" s="51">
        <f t="shared" si="47"/>
        <v>0</v>
      </c>
      <c r="H166" s="25"/>
      <c r="I166" s="51">
        <f t="shared" si="48"/>
        <v>0</v>
      </c>
      <c r="J166" s="27"/>
      <c r="K166" s="59">
        <f t="shared" si="49"/>
        <v>0</v>
      </c>
      <c r="L166" s="63">
        <f t="shared" si="42"/>
        <v>0</v>
      </c>
      <c r="M166" s="64">
        <f t="shared" si="43"/>
        <v>0</v>
      </c>
      <c r="N166" s="63">
        <f t="shared" si="44"/>
        <v>0</v>
      </c>
      <c r="O166" s="64">
        <f t="shared" si="45"/>
        <v>0</v>
      </c>
      <c r="P166" s="18"/>
    </row>
    <row r="167" spans="1:16" ht="15.6" x14ac:dyDescent="0.3">
      <c r="A167" s="2" t="s">
        <v>23</v>
      </c>
      <c r="B167" s="7" t="s">
        <v>24</v>
      </c>
      <c r="C167" s="24"/>
      <c r="D167" s="46">
        <f t="shared" si="46"/>
        <v>0</v>
      </c>
      <c r="E167" s="24"/>
      <c r="F167" s="25"/>
      <c r="G167" s="51">
        <f t="shared" si="47"/>
        <v>0</v>
      </c>
      <c r="H167" s="25"/>
      <c r="I167" s="51">
        <f t="shared" si="48"/>
        <v>0</v>
      </c>
      <c r="J167" s="27"/>
      <c r="K167" s="59">
        <f t="shared" si="49"/>
        <v>0</v>
      </c>
      <c r="L167" s="63">
        <f t="shared" si="42"/>
        <v>0</v>
      </c>
      <c r="M167" s="64">
        <f t="shared" si="43"/>
        <v>0</v>
      </c>
      <c r="N167" s="63">
        <f t="shared" si="44"/>
        <v>0</v>
      </c>
      <c r="O167" s="64">
        <f t="shared" si="45"/>
        <v>0</v>
      </c>
      <c r="P167" s="18"/>
    </row>
    <row r="168" spans="1:16" ht="15.6" x14ac:dyDescent="0.3">
      <c r="A168" s="2" t="s">
        <v>25</v>
      </c>
      <c r="B168" s="7" t="s">
        <v>26</v>
      </c>
      <c r="C168" s="24">
        <f>SUM(C169:C176)</f>
        <v>0</v>
      </c>
      <c r="D168" s="46">
        <f t="shared" si="46"/>
        <v>0</v>
      </c>
      <c r="E168" s="24">
        <f>SUM(E169:E176)</f>
        <v>0</v>
      </c>
      <c r="F168" s="25">
        <f>SUM(F169:F176)</f>
        <v>0</v>
      </c>
      <c r="G168" s="51">
        <f t="shared" si="47"/>
        <v>0</v>
      </c>
      <c r="H168" s="25">
        <f>SUM(H169:H176)</f>
        <v>0</v>
      </c>
      <c r="I168" s="51">
        <f t="shared" si="48"/>
        <v>0</v>
      </c>
      <c r="J168" s="27">
        <f>SUM(J169:J176)</f>
        <v>0</v>
      </c>
      <c r="K168" s="59">
        <f t="shared" si="49"/>
        <v>0</v>
      </c>
      <c r="L168" s="63">
        <f t="shared" si="42"/>
        <v>0</v>
      </c>
      <c r="M168" s="64">
        <f t="shared" si="43"/>
        <v>0</v>
      </c>
      <c r="N168" s="63">
        <f t="shared" si="44"/>
        <v>0</v>
      </c>
      <c r="O168" s="64">
        <f t="shared" si="45"/>
        <v>0</v>
      </c>
      <c r="P168" s="18"/>
    </row>
    <row r="169" spans="1:16" ht="15.6" x14ac:dyDescent="0.3">
      <c r="A169" s="2" t="s">
        <v>27</v>
      </c>
      <c r="B169" s="9" t="s">
        <v>28</v>
      </c>
      <c r="C169" s="24"/>
      <c r="D169" s="46">
        <f t="shared" si="46"/>
        <v>0</v>
      </c>
      <c r="E169" s="24"/>
      <c r="F169" s="25"/>
      <c r="G169" s="51">
        <f t="shared" si="47"/>
        <v>0</v>
      </c>
      <c r="H169" s="25"/>
      <c r="I169" s="51">
        <f t="shared" si="48"/>
        <v>0</v>
      </c>
      <c r="J169" s="27"/>
      <c r="K169" s="59">
        <f t="shared" si="49"/>
        <v>0</v>
      </c>
      <c r="L169" s="63">
        <f t="shared" si="42"/>
        <v>0</v>
      </c>
      <c r="M169" s="64">
        <f t="shared" si="43"/>
        <v>0</v>
      </c>
      <c r="N169" s="63">
        <f t="shared" si="44"/>
        <v>0</v>
      </c>
      <c r="O169" s="64">
        <f t="shared" si="45"/>
        <v>0</v>
      </c>
      <c r="P169" s="18"/>
    </row>
    <row r="170" spans="1:16" ht="15.6" x14ac:dyDescent="0.3">
      <c r="A170" s="2" t="s">
        <v>29</v>
      </c>
      <c r="B170" s="9" t="s">
        <v>30</v>
      </c>
      <c r="C170" s="24"/>
      <c r="D170" s="46">
        <f t="shared" si="46"/>
        <v>0</v>
      </c>
      <c r="E170" s="24"/>
      <c r="F170" s="25"/>
      <c r="G170" s="51">
        <f t="shared" si="47"/>
        <v>0</v>
      </c>
      <c r="H170" s="25"/>
      <c r="I170" s="51">
        <f t="shared" si="48"/>
        <v>0</v>
      </c>
      <c r="J170" s="27"/>
      <c r="K170" s="59">
        <f t="shared" si="49"/>
        <v>0</v>
      </c>
      <c r="L170" s="63">
        <f t="shared" si="42"/>
        <v>0</v>
      </c>
      <c r="M170" s="64">
        <f t="shared" si="43"/>
        <v>0</v>
      </c>
      <c r="N170" s="63">
        <f t="shared" si="44"/>
        <v>0</v>
      </c>
      <c r="O170" s="64">
        <f t="shared" si="45"/>
        <v>0</v>
      </c>
      <c r="P170" s="18"/>
    </row>
    <row r="171" spans="1:16" ht="15.6" x14ac:dyDescent="0.3">
      <c r="A171" s="2" t="s">
        <v>31</v>
      </c>
      <c r="B171" s="9" t="s">
        <v>32</v>
      </c>
      <c r="C171" s="24"/>
      <c r="D171" s="46">
        <f t="shared" si="46"/>
        <v>0</v>
      </c>
      <c r="E171" s="24"/>
      <c r="F171" s="25"/>
      <c r="G171" s="51">
        <f t="shared" si="47"/>
        <v>0</v>
      </c>
      <c r="H171" s="25"/>
      <c r="I171" s="51">
        <f t="shared" si="48"/>
        <v>0</v>
      </c>
      <c r="J171" s="27"/>
      <c r="K171" s="59">
        <f t="shared" si="49"/>
        <v>0</v>
      </c>
      <c r="L171" s="63">
        <f t="shared" si="42"/>
        <v>0</v>
      </c>
      <c r="M171" s="64">
        <f t="shared" si="43"/>
        <v>0</v>
      </c>
      <c r="N171" s="63">
        <f t="shared" si="44"/>
        <v>0</v>
      </c>
      <c r="O171" s="64">
        <f t="shared" si="45"/>
        <v>0</v>
      </c>
      <c r="P171" s="18"/>
    </row>
    <row r="172" spans="1:16" ht="15.6" x14ac:dyDescent="0.3">
      <c r="A172" s="2" t="s">
        <v>33</v>
      </c>
      <c r="B172" s="9" t="s">
        <v>34</v>
      </c>
      <c r="C172" s="24"/>
      <c r="D172" s="46">
        <f t="shared" si="46"/>
        <v>0</v>
      </c>
      <c r="E172" s="24"/>
      <c r="F172" s="25"/>
      <c r="G172" s="51">
        <f t="shared" si="47"/>
        <v>0</v>
      </c>
      <c r="H172" s="25"/>
      <c r="I172" s="51">
        <f t="shared" si="48"/>
        <v>0</v>
      </c>
      <c r="J172" s="27"/>
      <c r="K172" s="59">
        <f t="shared" si="49"/>
        <v>0</v>
      </c>
      <c r="L172" s="63">
        <f t="shared" si="42"/>
        <v>0</v>
      </c>
      <c r="M172" s="64">
        <f t="shared" si="43"/>
        <v>0</v>
      </c>
      <c r="N172" s="63">
        <f t="shared" si="44"/>
        <v>0</v>
      </c>
      <c r="O172" s="64">
        <f t="shared" si="45"/>
        <v>0</v>
      </c>
      <c r="P172" s="18"/>
    </row>
    <row r="173" spans="1:16" ht="15.6" x14ac:dyDescent="0.3">
      <c r="A173" s="2" t="s">
        <v>35</v>
      </c>
      <c r="B173" s="9" t="s">
        <v>36</v>
      </c>
      <c r="C173" s="24"/>
      <c r="D173" s="46">
        <f t="shared" si="46"/>
        <v>0</v>
      </c>
      <c r="E173" s="24"/>
      <c r="F173" s="25"/>
      <c r="G173" s="51">
        <f t="shared" si="47"/>
        <v>0</v>
      </c>
      <c r="H173" s="25"/>
      <c r="I173" s="51">
        <f t="shared" si="48"/>
        <v>0</v>
      </c>
      <c r="J173" s="27"/>
      <c r="K173" s="59">
        <f t="shared" si="49"/>
        <v>0</v>
      </c>
      <c r="L173" s="63">
        <f t="shared" si="42"/>
        <v>0</v>
      </c>
      <c r="M173" s="64">
        <f t="shared" si="43"/>
        <v>0</v>
      </c>
      <c r="N173" s="63">
        <f t="shared" si="44"/>
        <v>0</v>
      </c>
      <c r="O173" s="64">
        <f t="shared" si="45"/>
        <v>0</v>
      </c>
      <c r="P173" s="18"/>
    </row>
    <row r="174" spans="1:16" ht="27.6" x14ac:dyDescent="0.3">
      <c r="A174" s="2" t="s">
        <v>37</v>
      </c>
      <c r="B174" s="9" t="s">
        <v>38</v>
      </c>
      <c r="C174" s="24"/>
      <c r="D174" s="46">
        <f t="shared" si="46"/>
        <v>0</v>
      </c>
      <c r="E174" s="24"/>
      <c r="F174" s="25"/>
      <c r="G174" s="51">
        <f t="shared" si="47"/>
        <v>0</v>
      </c>
      <c r="H174" s="25"/>
      <c r="I174" s="51">
        <f t="shared" si="48"/>
        <v>0</v>
      </c>
      <c r="J174" s="27"/>
      <c r="K174" s="59">
        <f t="shared" si="49"/>
        <v>0</v>
      </c>
      <c r="L174" s="63">
        <f t="shared" si="42"/>
        <v>0</v>
      </c>
      <c r="M174" s="64">
        <f t="shared" si="43"/>
        <v>0</v>
      </c>
      <c r="N174" s="63">
        <f t="shared" si="44"/>
        <v>0</v>
      </c>
      <c r="O174" s="64">
        <f t="shared" si="45"/>
        <v>0</v>
      </c>
      <c r="P174" s="18"/>
    </row>
    <row r="175" spans="1:16" ht="15.6" x14ac:dyDescent="0.3">
      <c r="A175" s="2" t="s">
        <v>39</v>
      </c>
      <c r="B175" s="9" t="s">
        <v>40</v>
      </c>
      <c r="C175" s="24"/>
      <c r="D175" s="46">
        <f t="shared" si="46"/>
        <v>0</v>
      </c>
      <c r="E175" s="24"/>
      <c r="F175" s="25"/>
      <c r="G175" s="51">
        <f t="shared" si="47"/>
        <v>0</v>
      </c>
      <c r="H175" s="25"/>
      <c r="I175" s="51">
        <f t="shared" si="48"/>
        <v>0</v>
      </c>
      <c r="J175" s="27"/>
      <c r="K175" s="59">
        <f t="shared" si="49"/>
        <v>0</v>
      </c>
      <c r="L175" s="63">
        <f t="shared" si="42"/>
        <v>0</v>
      </c>
      <c r="M175" s="64">
        <f t="shared" si="43"/>
        <v>0</v>
      </c>
      <c r="N175" s="63">
        <f t="shared" si="44"/>
        <v>0</v>
      </c>
      <c r="O175" s="64">
        <f t="shared" si="45"/>
        <v>0</v>
      </c>
      <c r="P175" s="18"/>
    </row>
    <row r="176" spans="1:16" ht="15.6" x14ac:dyDescent="0.3">
      <c r="A176" s="2" t="s">
        <v>41</v>
      </c>
      <c r="B176" s="9" t="s">
        <v>42</v>
      </c>
      <c r="C176" s="24"/>
      <c r="D176" s="46">
        <f t="shared" si="46"/>
        <v>0</v>
      </c>
      <c r="E176" s="24"/>
      <c r="F176" s="25"/>
      <c r="G176" s="51">
        <f t="shared" si="47"/>
        <v>0</v>
      </c>
      <c r="H176" s="25"/>
      <c r="I176" s="51">
        <f t="shared" si="48"/>
        <v>0</v>
      </c>
      <c r="J176" s="27"/>
      <c r="K176" s="59">
        <f t="shared" si="49"/>
        <v>0</v>
      </c>
      <c r="L176" s="63">
        <f t="shared" si="42"/>
        <v>0</v>
      </c>
      <c r="M176" s="64">
        <f t="shared" si="43"/>
        <v>0</v>
      </c>
      <c r="N176" s="63">
        <f t="shared" si="44"/>
        <v>0</v>
      </c>
      <c r="O176" s="64">
        <f t="shared" si="45"/>
        <v>0</v>
      </c>
      <c r="P176" s="18"/>
    </row>
    <row r="177" spans="1:16" ht="15.6" x14ac:dyDescent="0.3">
      <c r="A177" s="2" t="s">
        <v>43</v>
      </c>
      <c r="B177" s="7" t="s">
        <v>44</v>
      </c>
      <c r="C177" s="24"/>
      <c r="D177" s="46">
        <f t="shared" si="46"/>
        <v>0</v>
      </c>
      <c r="E177" s="24"/>
      <c r="F177" s="25"/>
      <c r="G177" s="51">
        <f t="shared" si="47"/>
        <v>0</v>
      </c>
      <c r="H177" s="25"/>
      <c r="I177" s="51">
        <f t="shared" si="48"/>
        <v>0</v>
      </c>
      <c r="J177" s="27"/>
      <c r="K177" s="59">
        <f t="shared" si="49"/>
        <v>0</v>
      </c>
      <c r="L177" s="63">
        <f t="shared" si="42"/>
        <v>0</v>
      </c>
      <c r="M177" s="64">
        <f t="shared" si="43"/>
        <v>0</v>
      </c>
      <c r="N177" s="63">
        <f t="shared" si="44"/>
        <v>0</v>
      </c>
      <c r="O177" s="64">
        <f t="shared" si="45"/>
        <v>0</v>
      </c>
      <c r="P177" s="18"/>
    </row>
    <row r="178" spans="1:16" ht="15.6" x14ac:dyDescent="0.3">
      <c r="A178" s="2" t="s">
        <v>45</v>
      </c>
      <c r="B178" s="7" t="s">
        <v>46</v>
      </c>
      <c r="C178" s="24"/>
      <c r="D178" s="46">
        <f t="shared" si="46"/>
        <v>0</v>
      </c>
      <c r="E178" s="24"/>
      <c r="F178" s="25"/>
      <c r="G178" s="51">
        <f t="shared" si="47"/>
        <v>0</v>
      </c>
      <c r="H178" s="25"/>
      <c r="I178" s="51">
        <f t="shared" si="48"/>
        <v>0</v>
      </c>
      <c r="J178" s="27"/>
      <c r="K178" s="59">
        <f t="shared" si="49"/>
        <v>0</v>
      </c>
      <c r="L178" s="63">
        <f t="shared" si="42"/>
        <v>0</v>
      </c>
      <c r="M178" s="64">
        <f t="shared" si="43"/>
        <v>0</v>
      </c>
      <c r="N178" s="63">
        <f t="shared" si="44"/>
        <v>0</v>
      </c>
      <c r="O178" s="64">
        <f t="shared" si="45"/>
        <v>0</v>
      </c>
      <c r="P178" s="18"/>
    </row>
    <row r="179" spans="1:16" s="16" customFormat="1" ht="15.6" x14ac:dyDescent="0.3">
      <c r="A179" s="14" t="s">
        <v>47</v>
      </c>
      <c r="B179" s="22" t="s">
        <v>48</v>
      </c>
      <c r="C179" s="66">
        <f>SUM(C180:C202)</f>
        <v>0</v>
      </c>
      <c r="D179" s="46">
        <f t="shared" si="46"/>
        <v>0</v>
      </c>
      <c r="E179" s="66">
        <f>SUM(E180:E202)</f>
        <v>0</v>
      </c>
      <c r="F179" s="67">
        <f>SUM(F180:F202)</f>
        <v>0</v>
      </c>
      <c r="G179" s="51">
        <f t="shared" si="47"/>
        <v>0</v>
      </c>
      <c r="H179" s="67">
        <f>SUM(H180:H202)</f>
        <v>0</v>
      </c>
      <c r="I179" s="51">
        <f t="shared" si="48"/>
        <v>0</v>
      </c>
      <c r="J179" s="23">
        <f>SUM(J180:J202)</f>
        <v>0</v>
      </c>
      <c r="K179" s="59">
        <f t="shared" si="49"/>
        <v>0</v>
      </c>
      <c r="L179" s="63">
        <f t="shared" si="42"/>
        <v>0</v>
      </c>
      <c r="M179" s="64">
        <f t="shared" si="43"/>
        <v>0</v>
      </c>
      <c r="N179" s="63">
        <f t="shared" si="44"/>
        <v>0</v>
      </c>
      <c r="O179" s="64">
        <f t="shared" si="45"/>
        <v>0</v>
      </c>
      <c r="P179" s="18"/>
    </row>
    <row r="180" spans="1:16" ht="15.6" x14ac:dyDescent="0.3">
      <c r="A180" s="2" t="s">
        <v>49</v>
      </c>
      <c r="B180" s="10" t="s">
        <v>50</v>
      </c>
      <c r="C180" s="29"/>
      <c r="D180" s="46">
        <f t="shared" si="46"/>
        <v>0</v>
      </c>
      <c r="E180" s="24"/>
      <c r="F180" s="25"/>
      <c r="G180" s="51">
        <f t="shared" si="47"/>
        <v>0</v>
      </c>
      <c r="H180" s="25"/>
      <c r="I180" s="51">
        <f t="shared" si="48"/>
        <v>0</v>
      </c>
      <c r="J180" s="27"/>
      <c r="K180" s="59">
        <f t="shared" si="49"/>
        <v>0</v>
      </c>
      <c r="L180" s="63">
        <f t="shared" si="42"/>
        <v>0</v>
      </c>
      <c r="M180" s="64">
        <f t="shared" si="43"/>
        <v>0</v>
      </c>
      <c r="N180" s="63">
        <f t="shared" si="44"/>
        <v>0</v>
      </c>
      <c r="O180" s="64">
        <f t="shared" si="45"/>
        <v>0</v>
      </c>
      <c r="P180" s="18"/>
    </row>
    <row r="181" spans="1:16" ht="15.6" x14ac:dyDescent="0.3">
      <c r="A181" s="2" t="s">
        <v>51</v>
      </c>
      <c r="B181" s="10" t="s">
        <v>52</v>
      </c>
      <c r="C181" s="24"/>
      <c r="D181" s="46">
        <f t="shared" si="46"/>
        <v>0</v>
      </c>
      <c r="E181" s="24"/>
      <c r="F181" s="25"/>
      <c r="G181" s="51">
        <f t="shared" si="47"/>
        <v>0</v>
      </c>
      <c r="H181" s="25"/>
      <c r="I181" s="51">
        <f t="shared" si="48"/>
        <v>0</v>
      </c>
      <c r="J181" s="27"/>
      <c r="K181" s="59">
        <f t="shared" si="49"/>
        <v>0</v>
      </c>
      <c r="L181" s="63">
        <f t="shared" si="42"/>
        <v>0</v>
      </c>
      <c r="M181" s="64">
        <f t="shared" si="43"/>
        <v>0</v>
      </c>
      <c r="N181" s="63">
        <f t="shared" si="44"/>
        <v>0</v>
      </c>
      <c r="O181" s="64">
        <f t="shared" si="45"/>
        <v>0</v>
      </c>
      <c r="P181" s="18"/>
    </row>
    <row r="182" spans="1:16" ht="15.6" x14ac:dyDescent="0.3">
      <c r="A182" s="2" t="s">
        <v>53</v>
      </c>
      <c r="B182" s="10" t="s">
        <v>54</v>
      </c>
      <c r="C182" s="24"/>
      <c r="D182" s="46">
        <f t="shared" si="46"/>
        <v>0</v>
      </c>
      <c r="E182" s="24"/>
      <c r="F182" s="25"/>
      <c r="G182" s="51">
        <f t="shared" si="47"/>
        <v>0</v>
      </c>
      <c r="H182" s="25"/>
      <c r="I182" s="51">
        <f t="shared" si="48"/>
        <v>0</v>
      </c>
      <c r="J182" s="27"/>
      <c r="K182" s="59">
        <f t="shared" si="49"/>
        <v>0</v>
      </c>
      <c r="L182" s="63">
        <f t="shared" si="42"/>
        <v>0</v>
      </c>
      <c r="M182" s="64">
        <f t="shared" si="43"/>
        <v>0</v>
      </c>
      <c r="N182" s="63">
        <f t="shared" si="44"/>
        <v>0</v>
      </c>
      <c r="O182" s="64">
        <f t="shared" si="45"/>
        <v>0</v>
      </c>
      <c r="P182" s="18"/>
    </row>
    <row r="183" spans="1:16" ht="15.6" x14ac:dyDescent="0.3">
      <c r="A183" s="2" t="s">
        <v>55</v>
      </c>
      <c r="B183" s="10" t="s">
        <v>56</v>
      </c>
      <c r="C183" s="24"/>
      <c r="D183" s="46">
        <f t="shared" si="46"/>
        <v>0</v>
      </c>
      <c r="E183" s="24"/>
      <c r="F183" s="25"/>
      <c r="G183" s="51">
        <f t="shared" si="47"/>
        <v>0</v>
      </c>
      <c r="H183" s="25"/>
      <c r="I183" s="51">
        <f t="shared" si="48"/>
        <v>0</v>
      </c>
      <c r="J183" s="27"/>
      <c r="K183" s="59">
        <f t="shared" si="49"/>
        <v>0</v>
      </c>
      <c r="L183" s="63">
        <f t="shared" si="42"/>
        <v>0</v>
      </c>
      <c r="M183" s="64">
        <f t="shared" si="43"/>
        <v>0</v>
      </c>
      <c r="N183" s="63">
        <f t="shared" si="44"/>
        <v>0</v>
      </c>
      <c r="O183" s="64">
        <f t="shared" si="45"/>
        <v>0</v>
      </c>
      <c r="P183" s="18"/>
    </row>
    <row r="184" spans="1:16" ht="15.6" x14ac:dyDescent="0.3">
      <c r="A184" s="2" t="s">
        <v>57</v>
      </c>
      <c r="B184" s="10" t="s">
        <v>58</v>
      </c>
      <c r="C184" s="29"/>
      <c r="D184" s="46">
        <f t="shared" si="46"/>
        <v>0</v>
      </c>
      <c r="E184" s="24"/>
      <c r="F184" s="25"/>
      <c r="G184" s="51">
        <f t="shared" si="47"/>
        <v>0</v>
      </c>
      <c r="H184" s="25"/>
      <c r="I184" s="51">
        <f t="shared" si="48"/>
        <v>0</v>
      </c>
      <c r="J184" s="27"/>
      <c r="K184" s="59">
        <f t="shared" si="49"/>
        <v>0</v>
      </c>
      <c r="L184" s="63">
        <f t="shared" si="42"/>
        <v>0</v>
      </c>
      <c r="M184" s="64">
        <f t="shared" si="43"/>
        <v>0</v>
      </c>
      <c r="N184" s="63">
        <f t="shared" si="44"/>
        <v>0</v>
      </c>
      <c r="O184" s="64">
        <f t="shared" si="45"/>
        <v>0</v>
      </c>
      <c r="P184" s="18"/>
    </row>
    <row r="185" spans="1:16" ht="15.6" x14ac:dyDescent="0.3">
      <c r="A185" s="2" t="s">
        <v>59</v>
      </c>
      <c r="B185" s="10" t="s">
        <v>60</v>
      </c>
      <c r="C185" s="24"/>
      <c r="D185" s="46">
        <f t="shared" si="46"/>
        <v>0</v>
      </c>
      <c r="E185" s="24"/>
      <c r="F185" s="25"/>
      <c r="G185" s="51">
        <f t="shared" si="47"/>
        <v>0</v>
      </c>
      <c r="H185" s="25"/>
      <c r="I185" s="51">
        <f t="shared" si="48"/>
        <v>0</v>
      </c>
      <c r="J185" s="27"/>
      <c r="K185" s="59">
        <f t="shared" si="49"/>
        <v>0</v>
      </c>
      <c r="L185" s="63">
        <f t="shared" si="42"/>
        <v>0</v>
      </c>
      <c r="M185" s="64">
        <f t="shared" si="43"/>
        <v>0</v>
      </c>
      <c r="N185" s="63">
        <f t="shared" si="44"/>
        <v>0</v>
      </c>
      <c r="O185" s="64">
        <f t="shared" si="45"/>
        <v>0</v>
      </c>
      <c r="P185" s="18"/>
    </row>
    <row r="186" spans="1:16" ht="15.6" x14ac:dyDescent="0.3">
      <c r="A186" s="2" t="s">
        <v>61</v>
      </c>
      <c r="B186" s="10" t="s">
        <v>62</v>
      </c>
      <c r="C186" s="29"/>
      <c r="D186" s="46">
        <f t="shared" si="46"/>
        <v>0</v>
      </c>
      <c r="E186" s="24"/>
      <c r="F186" s="25"/>
      <c r="G186" s="51">
        <f t="shared" si="47"/>
        <v>0</v>
      </c>
      <c r="H186" s="25"/>
      <c r="I186" s="51">
        <f t="shared" si="48"/>
        <v>0</v>
      </c>
      <c r="J186" s="27"/>
      <c r="K186" s="59">
        <f t="shared" si="49"/>
        <v>0</v>
      </c>
      <c r="L186" s="63">
        <f t="shared" si="42"/>
        <v>0</v>
      </c>
      <c r="M186" s="64">
        <f t="shared" si="43"/>
        <v>0</v>
      </c>
      <c r="N186" s="63">
        <f t="shared" si="44"/>
        <v>0</v>
      </c>
      <c r="O186" s="64">
        <f t="shared" si="45"/>
        <v>0</v>
      </c>
      <c r="P186" s="18"/>
    </row>
    <row r="187" spans="1:16" ht="15.6" x14ac:dyDescent="0.3">
      <c r="A187" s="2" t="s">
        <v>63</v>
      </c>
      <c r="B187" s="10" t="s">
        <v>64</v>
      </c>
      <c r="C187" s="24"/>
      <c r="D187" s="46">
        <f t="shared" si="46"/>
        <v>0</v>
      </c>
      <c r="E187" s="24"/>
      <c r="F187" s="25"/>
      <c r="G187" s="51">
        <f t="shared" si="47"/>
        <v>0</v>
      </c>
      <c r="H187" s="25"/>
      <c r="I187" s="51">
        <f t="shared" si="48"/>
        <v>0</v>
      </c>
      <c r="J187" s="27"/>
      <c r="K187" s="59">
        <f t="shared" si="49"/>
        <v>0</v>
      </c>
      <c r="L187" s="63">
        <f t="shared" si="42"/>
        <v>0</v>
      </c>
      <c r="M187" s="64">
        <f t="shared" si="43"/>
        <v>0</v>
      </c>
      <c r="N187" s="63">
        <f t="shared" si="44"/>
        <v>0</v>
      </c>
      <c r="O187" s="64">
        <f t="shared" si="45"/>
        <v>0</v>
      </c>
      <c r="P187" s="18"/>
    </row>
    <row r="188" spans="1:16" ht="15.6" x14ac:dyDescent="0.3">
      <c r="A188" s="2" t="s">
        <v>65</v>
      </c>
      <c r="B188" s="10" t="s">
        <v>66</v>
      </c>
      <c r="C188" s="29"/>
      <c r="D188" s="46">
        <f t="shared" si="46"/>
        <v>0</v>
      </c>
      <c r="E188" s="24"/>
      <c r="F188" s="25"/>
      <c r="G188" s="51">
        <f t="shared" si="47"/>
        <v>0</v>
      </c>
      <c r="H188" s="25"/>
      <c r="I188" s="51">
        <f t="shared" si="48"/>
        <v>0</v>
      </c>
      <c r="J188" s="27"/>
      <c r="K188" s="59">
        <f t="shared" si="49"/>
        <v>0</v>
      </c>
      <c r="L188" s="63">
        <f t="shared" si="42"/>
        <v>0</v>
      </c>
      <c r="M188" s="64">
        <f t="shared" si="43"/>
        <v>0</v>
      </c>
      <c r="N188" s="63">
        <f t="shared" si="44"/>
        <v>0</v>
      </c>
      <c r="O188" s="64">
        <f t="shared" si="45"/>
        <v>0</v>
      </c>
      <c r="P188" s="18"/>
    </row>
    <row r="189" spans="1:16" ht="15.6" x14ac:dyDescent="0.3">
      <c r="A189" s="2" t="s">
        <v>67</v>
      </c>
      <c r="B189" s="10" t="s">
        <v>68</v>
      </c>
      <c r="C189" s="29"/>
      <c r="D189" s="46">
        <f t="shared" si="46"/>
        <v>0</v>
      </c>
      <c r="E189" s="24"/>
      <c r="F189" s="25"/>
      <c r="G189" s="51">
        <f t="shared" si="47"/>
        <v>0</v>
      </c>
      <c r="H189" s="25"/>
      <c r="I189" s="51">
        <f t="shared" si="48"/>
        <v>0</v>
      </c>
      <c r="J189" s="27"/>
      <c r="K189" s="59">
        <f t="shared" si="49"/>
        <v>0</v>
      </c>
      <c r="L189" s="63">
        <f t="shared" si="42"/>
        <v>0</v>
      </c>
      <c r="M189" s="64">
        <f t="shared" si="43"/>
        <v>0</v>
      </c>
      <c r="N189" s="63">
        <f t="shared" si="44"/>
        <v>0</v>
      </c>
      <c r="O189" s="64">
        <f t="shared" si="45"/>
        <v>0</v>
      </c>
      <c r="P189" s="18"/>
    </row>
    <row r="190" spans="1:16" ht="15.6" x14ac:dyDescent="0.3">
      <c r="A190" s="2" t="s">
        <v>69</v>
      </c>
      <c r="B190" s="10" t="s">
        <v>70</v>
      </c>
      <c r="C190" s="29"/>
      <c r="D190" s="46">
        <f t="shared" si="46"/>
        <v>0</v>
      </c>
      <c r="E190" s="24"/>
      <c r="F190" s="25"/>
      <c r="G190" s="51">
        <f t="shared" si="47"/>
        <v>0</v>
      </c>
      <c r="H190" s="25"/>
      <c r="I190" s="51">
        <f t="shared" si="48"/>
        <v>0</v>
      </c>
      <c r="J190" s="27"/>
      <c r="K190" s="59">
        <f t="shared" si="49"/>
        <v>0</v>
      </c>
      <c r="L190" s="63">
        <f t="shared" si="42"/>
        <v>0</v>
      </c>
      <c r="M190" s="64">
        <f t="shared" si="43"/>
        <v>0</v>
      </c>
      <c r="N190" s="63">
        <f t="shared" si="44"/>
        <v>0</v>
      </c>
      <c r="O190" s="64">
        <f t="shared" si="45"/>
        <v>0</v>
      </c>
      <c r="P190" s="18"/>
    </row>
    <row r="191" spans="1:16" ht="15.6" x14ac:dyDescent="0.3">
      <c r="A191" s="31" t="s">
        <v>71</v>
      </c>
      <c r="B191" s="10" t="s">
        <v>72</v>
      </c>
      <c r="C191" s="29"/>
      <c r="D191" s="46">
        <f t="shared" si="46"/>
        <v>0</v>
      </c>
      <c r="E191" s="24"/>
      <c r="F191" s="25"/>
      <c r="G191" s="51">
        <f t="shared" si="47"/>
        <v>0</v>
      </c>
      <c r="H191" s="25"/>
      <c r="I191" s="51">
        <f t="shared" si="48"/>
        <v>0</v>
      </c>
      <c r="J191" s="27"/>
      <c r="K191" s="59">
        <f t="shared" si="49"/>
        <v>0</v>
      </c>
      <c r="L191" s="63">
        <f t="shared" si="42"/>
        <v>0</v>
      </c>
      <c r="M191" s="64">
        <f t="shared" si="43"/>
        <v>0</v>
      </c>
      <c r="N191" s="63">
        <f t="shared" si="44"/>
        <v>0</v>
      </c>
      <c r="O191" s="64">
        <f t="shared" si="45"/>
        <v>0</v>
      </c>
      <c r="P191" s="18"/>
    </row>
    <row r="192" spans="1:16" ht="15.6" x14ac:dyDescent="0.3">
      <c r="A192" s="2" t="s">
        <v>73</v>
      </c>
      <c r="B192" s="10" t="s">
        <v>74</v>
      </c>
      <c r="C192" s="24"/>
      <c r="D192" s="46">
        <f t="shared" si="46"/>
        <v>0</v>
      </c>
      <c r="E192" s="24"/>
      <c r="F192" s="25"/>
      <c r="G192" s="51">
        <f t="shared" si="47"/>
        <v>0</v>
      </c>
      <c r="H192" s="25"/>
      <c r="I192" s="51">
        <f t="shared" si="48"/>
        <v>0</v>
      </c>
      <c r="J192" s="27"/>
      <c r="K192" s="59">
        <f t="shared" si="49"/>
        <v>0</v>
      </c>
      <c r="L192" s="63">
        <f t="shared" si="42"/>
        <v>0</v>
      </c>
      <c r="M192" s="64">
        <f t="shared" si="43"/>
        <v>0</v>
      </c>
      <c r="N192" s="63">
        <f t="shared" si="44"/>
        <v>0</v>
      </c>
      <c r="O192" s="64">
        <f t="shared" si="45"/>
        <v>0</v>
      </c>
      <c r="P192" s="18"/>
    </row>
    <row r="193" spans="1:16" ht="15.6" x14ac:dyDescent="0.3">
      <c r="A193" s="18" t="s">
        <v>75</v>
      </c>
      <c r="B193" s="10" t="s">
        <v>76</v>
      </c>
      <c r="C193" s="29"/>
      <c r="D193" s="46">
        <f t="shared" si="46"/>
        <v>0</v>
      </c>
      <c r="E193" s="24"/>
      <c r="F193" s="25"/>
      <c r="G193" s="51">
        <f t="shared" si="47"/>
        <v>0</v>
      </c>
      <c r="H193" s="25"/>
      <c r="I193" s="51">
        <f t="shared" si="48"/>
        <v>0</v>
      </c>
      <c r="J193" s="27"/>
      <c r="K193" s="59">
        <f t="shared" si="49"/>
        <v>0</v>
      </c>
      <c r="L193" s="63">
        <f t="shared" si="42"/>
        <v>0</v>
      </c>
      <c r="M193" s="64">
        <f t="shared" si="43"/>
        <v>0</v>
      </c>
      <c r="N193" s="63">
        <f t="shared" si="44"/>
        <v>0</v>
      </c>
      <c r="O193" s="64">
        <f t="shared" si="45"/>
        <v>0</v>
      </c>
      <c r="P193" s="18"/>
    </row>
    <row r="194" spans="1:16" ht="15.6" x14ac:dyDescent="0.3">
      <c r="A194" s="2" t="s">
        <v>77</v>
      </c>
      <c r="B194" s="10" t="s">
        <v>78</v>
      </c>
      <c r="C194" s="29"/>
      <c r="D194" s="46">
        <f t="shared" si="46"/>
        <v>0</v>
      </c>
      <c r="E194" s="24"/>
      <c r="F194" s="25"/>
      <c r="G194" s="51">
        <f t="shared" si="47"/>
        <v>0</v>
      </c>
      <c r="H194" s="25"/>
      <c r="I194" s="51">
        <f t="shared" si="48"/>
        <v>0</v>
      </c>
      <c r="J194" s="27"/>
      <c r="K194" s="59">
        <f t="shared" si="49"/>
        <v>0</v>
      </c>
      <c r="L194" s="63">
        <f t="shared" si="42"/>
        <v>0</v>
      </c>
      <c r="M194" s="64">
        <f t="shared" si="43"/>
        <v>0</v>
      </c>
      <c r="N194" s="63">
        <f t="shared" si="44"/>
        <v>0</v>
      </c>
      <c r="O194" s="64">
        <f t="shared" si="45"/>
        <v>0</v>
      </c>
      <c r="P194" s="18"/>
    </row>
    <row r="195" spans="1:16" ht="15.6" x14ac:dyDescent="0.3">
      <c r="A195" s="18" t="s">
        <v>79</v>
      </c>
      <c r="B195" s="10" t="s">
        <v>80</v>
      </c>
      <c r="C195" s="24"/>
      <c r="D195" s="46">
        <f t="shared" si="46"/>
        <v>0</v>
      </c>
      <c r="E195" s="24"/>
      <c r="F195" s="25"/>
      <c r="G195" s="51">
        <f t="shared" si="47"/>
        <v>0</v>
      </c>
      <c r="H195" s="25"/>
      <c r="I195" s="51">
        <f t="shared" si="48"/>
        <v>0</v>
      </c>
      <c r="J195" s="27"/>
      <c r="K195" s="59">
        <f t="shared" si="49"/>
        <v>0</v>
      </c>
      <c r="L195" s="63">
        <f t="shared" si="42"/>
        <v>0</v>
      </c>
      <c r="M195" s="64">
        <f t="shared" si="43"/>
        <v>0</v>
      </c>
      <c r="N195" s="63">
        <f t="shared" si="44"/>
        <v>0</v>
      </c>
      <c r="O195" s="64">
        <f t="shared" si="45"/>
        <v>0</v>
      </c>
      <c r="P195" s="18"/>
    </row>
    <row r="196" spans="1:16" ht="15.6" x14ac:dyDescent="0.3">
      <c r="A196" s="2" t="s">
        <v>81</v>
      </c>
      <c r="B196" s="10" t="s">
        <v>82</v>
      </c>
      <c r="C196" s="24"/>
      <c r="D196" s="46">
        <f t="shared" si="46"/>
        <v>0</v>
      </c>
      <c r="E196" s="24"/>
      <c r="F196" s="25"/>
      <c r="G196" s="51">
        <f t="shared" si="47"/>
        <v>0</v>
      </c>
      <c r="H196" s="25"/>
      <c r="I196" s="51">
        <f t="shared" si="48"/>
        <v>0</v>
      </c>
      <c r="J196" s="27"/>
      <c r="K196" s="59">
        <f t="shared" si="49"/>
        <v>0</v>
      </c>
      <c r="L196" s="63">
        <f t="shared" si="42"/>
        <v>0</v>
      </c>
      <c r="M196" s="64">
        <f t="shared" si="43"/>
        <v>0</v>
      </c>
      <c r="N196" s="63">
        <f t="shared" si="44"/>
        <v>0</v>
      </c>
      <c r="O196" s="64">
        <f t="shared" si="45"/>
        <v>0</v>
      </c>
      <c r="P196" s="18"/>
    </row>
    <row r="197" spans="1:16" ht="15.6" x14ac:dyDescent="0.3">
      <c r="A197" s="2" t="s">
        <v>83</v>
      </c>
      <c r="B197" s="10" t="s">
        <v>84</v>
      </c>
      <c r="C197" s="24"/>
      <c r="D197" s="46">
        <f t="shared" si="46"/>
        <v>0</v>
      </c>
      <c r="E197" s="24"/>
      <c r="F197" s="25"/>
      <c r="G197" s="51">
        <f t="shared" si="47"/>
        <v>0</v>
      </c>
      <c r="H197" s="25"/>
      <c r="I197" s="51">
        <f t="shared" si="48"/>
        <v>0</v>
      </c>
      <c r="J197" s="27"/>
      <c r="K197" s="59">
        <f t="shared" si="49"/>
        <v>0</v>
      </c>
      <c r="L197" s="63">
        <f t="shared" si="42"/>
        <v>0</v>
      </c>
      <c r="M197" s="64">
        <f t="shared" si="43"/>
        <v>0</v>
      </c>
      <c r="N197" s="63">
        <f t="shared" si="44"/>
        <v>0</v>
      </c>
      <c r="O197" s="64">
        <f t="shared" si="45"/>
        <v>0</v>
      </c>
      <c r="P197" s="18"/>
    </row>
    <row r="198" spans="1:16" ht="15.6" x14ac:dyDescent="0.3">
      <c r="A198" s="2" t="s">
        <v>85</v>
      </c>
      <c r="B198" s="10" t="s">
        <v>86</v>
      </c>
      <c r="C198" s="29"/>
      <c r="D198" s="46">
        <f t="shared" si="46"/>
        <v>0</v>
      </c>
      <c r="E198" s="24"/>
      <c r="F198" s="25"/>
      <c r="G198" s="51">
        <f t="shared" si="47"/>
        <v>0</v>
      </c>
      <c r="H198" s="25"/>
      <c r="I198" s="51">
        <f t="shared" si="48"/>
        <v>0</v>
      </c>
      <c r="J198" s="27"/>
      <c r="K198" s="59">
        <f t="shared" si="49"/>
        <v>0</v>
      </c>
      <c r="L198" s="63">
        <f t="shared" si="42"/>
        <v>0</v>
      </c>
      <c r="M198" s="64">
        <f t="shared" si="43"/>
        <v>0</v>
      </c>
      <c r="N198" s="63">
        <f t="shared" si="44"/>
        <v>0</v>
      </c>
      <c r="O198" s="64">
        <f t="shared" si="45"/>
        <v>0</v>
      </c>
      <c r="P198" s="18"/>
    </row>
    <row r="199" spans="1:16" ht="15.6" x14ac:dyDescent="0.3">
      <c r="A199" s="2" t="s">
        <v>87</v>
      </c>
      <c r="B199" s="10" t="s">
        <v>88</v>
      </c>
      <c r="C199" s="29"/>
      <c r="D199" s="46">
        <f t="shared" si="46"/>
        <v>0</v>
      </c>
      <c r="E199" s="24"/>
      <c r="F199" s="25"/>
      <c r="G199" s="51">
        <f t="shared" si="47"/>
        <v>0</v>
      </c>
      <c r="H199" s="25"/>
      <c r="I199" s="51">
        <f t="shared" si="48"/>
        <v>0</v>
      </c>
      <c r="J199" s="27"/>
      <c r="K199" s="59">
        <f t="shared" si="49"/>
        <v>0</v>
      </c>
      <c r="L199" s="63">
        <f t="shared" si="42"/>
        <v>0</v>
      </c>
      <c r="M199" s="64">
        <f t="shared" si="43"/>
        <v>0</v>
      </c>
      <c r="N199" s="63">
        <f t="shared" si="44"/>
        <v>0</v>
      </c>
      <c r="O199" s="64">
        <f t="shared" si="45"/>
        <v>0</v>
      </c>
      <c r="P199" s="18"/>
    </row>
    <row r="200" spans="1:16" ht="15.6" x14ac:dyDescent="0.3">
      <c r="A200" s="2" t="s">
        <v>89</v>
      </c>
      <c r="B200" s="10" t="s">
        <v>90</v>
      </c>
      <c r="C200" s="24"/>
      <c r="D200" s="46">
        <f t="shared" si="46"/>
        <v>0</v>
      </c>
      <c r="E200" s="24"/>
      <c r="F200" s="25"/>
      <c r="G200" s="51">
        <f t="shared" si="47"/>
        <v>0</v>
      </c>
      <c r="H200" s="25"/>
      <c r="I200" s="51">
        <f t="shared" si="48"/>
        <v>0</v>
      </c>
      <c r="J200" s="27"/>
      <c r="K200" s="59">
        <f t="shared" si="49"/>
        <v>0</v>
      </c>
      <c r="L200" s="63">
        <f t="shared" si="42"/>
        <v>0</v>
      </c>
      <c r="M200" s="64">
        <f t="shared" si="43"/>
        <v>0</v>
      </c>
      <c r="N200" s="63">
        <f t="shared" si="44"/>
        <v>0</v>
      </c>
      <c r="O200" s="64">
        <f t="shared" si="45"/>
        <v>0</v>
      </c>
      <c r="P200" s="18"/>
    </row>
    <row r="201" spans="1:16" ht="15.6" x14ac:dyDescent="0.3">
      <c r="A201" s="2" t="s">
        <v>91</v>
      </c>
      <c r="B201" s="10" t="s">
        <v>92</v>
      </c>
      <c r="C201" s="29"/>
      <c r="D201" s="46">
        <f t="shared" si="46"/>
        <v>0</v>
      </c>
      <c r="E201" s="24"/>
      <c r="F201" s="25"/>
      <c r="G201" s="51">
        <f t="shared" si="47"/>
        <v>0</v>
      </c>
      <c r="H201" s="25"/>
      <c r="I201" s="51">
        <f t="shared" si="48"/>
        <v>0</v>
      </c>
      <c r="J201" s="27"/>
      <c r="K201" s="59">
        <f t="shared" si="49"/>
        <v>0</v>
      </c>
      <c r="L201" s="63">
        <f t="shared" si="42"/>
        <v>0</v>
      </c>
      <c r="M201" s="64">
        <f t="shared" si="43"/>
        <v>0</v>
      </c>
      <c r="N201" s="63">
        <f t="shared" si="44"/>
        <v>0</v>
      </c>
      <c r="O201" s="64">
        <f t="shared" si="45"/>
        <v>0</v>
      </c>
      <c r="P201" s="18"/>
    </row>
    <row r="202" spans="1:16" ht="15.6" x14ac:dyDescent="0.3">
      <c r="A202" s="2" t="s">
        <v>93</v>
      </c>
      <c r="B202" s="10" t="s">
        <v>94</v>
      </c>
      <c r="C202" s="29"/>
      <c r="D202" s="46">
        <f t="shared" si="46"/>
        <v>0</v>
      </c>
      <c r="E202" s="24"/>
      <c r="F202" s="25"/>
      <c r="G202" s="51">
        <f t="shared" si="47"/>
        <v>0</v>
      </c>
      <c r="H202" s="25"/>
      <c r="I202" s="51">
        <f t="shared" si="48"/>
        <v>0</v>
      </c>
      <c r="J202" s="27"/>
      <c r="K202" s="59">
        <f t="shared" si="49"/>
        <v>0</v>
      </c>
      <c r="L202" s="63">
        <f t="shared" si="42"/>
        <v>0</v>
      </c>
      <c r="M202" s="64">
        <f t="shared" si="43"/>
        <v>0</v>
      </c>
      <c r="N202" s="63">
        <f t="shared" si="44"/>
        <v>0</v>
      </c>
      <c r="O202" s="64">
        <f t="shared" si="45"/>
        <v>0</v>
      </c>
      <c r="P202" s="18"/>
    </row>
    <row r="203" spans="1:16" ht="15.6" x14ac:dyDescent="0.3">
      <c r="A203" s="21" t="s">
        <v>95</v>
      </c>
      <c r="B203" s="22" t="s">
        <v>96</v>
      </c>
      <c r="C203" s="91">
        <f>C159-C162</f>
        <v>0</v>
      </c>
      <c r="D203" s="82"/>
      <c r="E203" s="66">
        <f>E159-E162</f>
        <v>0</v>
      </c>
      <c r="F203" s="92">
        <f>F159-F162</f>
        <v>0</v>
      </c>
      <c r="G203" s="82"/>
      <c r="H203" s="92">
        <f>H159-H162</f>
        <v>0</v>
      </c>
      <c r="I203" s="82"/>
      <c r="J203" s="89">
        <f>J159-J162</f>
        <v>0</v>
      </c>
      <c r="K203" s="82"/>
      <c r="L203" s="63">
        <f t="shared" si="42"/>
        <v>0</v>
      </c>
      <c r="M203" s="64">
        <f t="shared" si="43"/>
        <v>0</v>
      </c>
      <c r="N203" s="63">
        <f t="shared" si="44"/>
        <v>0</v>
      </c>
      <c r="O203" s="64">
        <f t="shared" si="45"/>
        <v>0</v>
      </c>
      <c r="P203" s="18"/>
    </row>
    <row r="204" spans="1:16" x14ac:dyDescent="0.3">
      <c r="A204" s="30" t="s">
        <v>97</v>
      </c>
      <c r="B204" s="11" t="s">
        <v>98</v>
      </c>
      <c r="C204" s="84">
        <f>IFERROR(C203/C159,0)</f>
        <v>0</v>
      </c>
      <c r="D204" s="77"/>
      <c r="E204" s="47">
        <f>IFERROR(E203/E159,0)</f>
        <v>0</v>
      </c>
      <c r="F204" s="76">
        <f>IFERROR(F203/F159,0)</f>
        <v>0</v>
      </c>
      <c r="G204" s="77"/>
      <c r="H204" s="76">
        <f>IFERROR(H203/H159,0)</f>
        <v>0</v>
      </c>
      <c r="I204" s="77"/>
      <c r="J204" s="80">
        <f>IFERROR(J203/J159,0)</f>
        <v>0</v>
      </c>
      <c r="K204" s="77"/>
    </row>
    <row r="205" spans="1:16" x14ac:dyDescent="0.3">
      <c r="A205" s="30" t="s">
        <v>99</v>
      </c>
      <c r="B205" s="11" t="s">
        <v>100</v>
      </c>
      <c r="C205" s="84">
        <f>IFERROR(C203/C207,0)</f>
        <v>0</v>
      </c>
      <c r="D205" s="77"/>
      <c r="E205" s="47">
        <f>IFERROR(E203/C207,0)</f>
        <v>0</v>
      </c>
      <c r="F205" s="76">
        <f t="shared" ref="F205" si="50">IFERROR(F203/F207,0)</f>
        <v>0</v>
      </c>
      <c r="G205" s="77"/>
      <c r="H205" s="76">
        <f t="shared" ref="H205" si="51">IFERROR(H203/H207,0)</f>
        <v>0</v>
      </c>
      <c r="I205" s="77"/>
      <c r="J205" s="80">
        <f t="shared" ref="J205" si="52">IFERROR(J203/J207,0)</f>
        <v>0</v>
      </c>
      <c r="K205" s="77"/>
    </row>
    <row r="206" spans="1:16" x14ac:dyDescent="0.3">
      <c r="A206" s="33" t="s">
        <v>101</v>
      </c>
      <c r="B206" s="11" t="s">
        <v>102</v>
      </c>
      <c r="C206" s="84">
        <f>IFERROR(C205*12,0)</f>
        <v>0</v>
      </c>
      <c r="D206" s="77"/>
      <c r="E206" s="47">
        <f>IFERROR(E205*12,0)</f>
        <v>0</v>
      </c>
      <c r="F206" s="76">
        <f t="shared" ref="F206" si="53">IFERROR(F205*12,0)</f>
        <v>0</v>
      </c>
      <c r="G206" s="77"/>
      <c r="H206" s="76">
        <f t="shared" ref="H206" si="54">IFERROR(H205*12,0)</f>
        <v>0</v>
      </c>
      <c r="I206" s="77"/>
      <c r="J206" s="80">
        <f t="shared" ref="J206" si="55">IFERROR(J205*12,0)</f>
        <v>0</v>
      </c>
      <c r="K206" s="77"/>
    </row>
    <row r="207" spans="1:16" x14ac:dyDescent="0.3">
      <c r="A207" s="33" t="s">
        <v>103</v>
      </c>
      <c r="B207" s="12" t="s">
        <v>104</v>
      </c>
      <c r="C207" s="78">
        <v>139424</v>
      </c>
      <c r="D207" s="79"/>
      <c r="E207" s="4"/>
      <c r="F207" s="4"/>
      <c r="G207" s="53"/>
      <c r="H207" s="4"/>
      <c r="I207" s="53"/>
      <c r="J207" s="4"/>
      <c r="K207" s="53"/>
    </row>
    <row r="209" spans="1:16" ht="39.6" customHeight="1" x14ac:dyDescent="0.3">
      <c r="A209" s="74" t="s">
        <v>0</v>
      </c>
      <c r="B209" s="85" t="s">
        <v>108</v>
      </c>
      <c r="C209" s="93" t="s">
        <v>2</v>
      </c>
      <c r="D209" s="82"/>
      <c r="E209" s="90" t="s">
        <v>3</v>
      </c>
      <c r="F209" s="81" t="s">
        <v>4</v>
      </c>
      <c r="G209" s="82"/>
      <c r="H209" s="81" t="s">
        <v>5</v>
      </c>
      <c r="I209" s="82"/>
      <c r="J209" s="83" t="s">
        <v>6</v>
      </c>
      <c r="K209" s="82"/>
      <c r="L209" s="61" t="s">
        <v>129</v>
      </c>
      <c r="M209" s="62" t="s">
        <v>130</v>
      </c>
      <c r="N209" s="61" t="s">
        <v>131</v>
      </c>
      <c r="O209" s="62" t="s">
        <v>132</v>
      </c>
      <c r="P209" s="18" t="s">
        <v>122</v>
      </c>
    </row>
    <row r="210" spans="1:16" ht="27.6" x14ac:dyDescent="0.3">
      <c r="A210" s="75"/>
      <c r="B210" s="86"/>
      <c r="C210" s="39">
        <v>46204</v>
      </c>
      <c r="D210" s="44" t="s">
        <v>7</v>
      </c>
      <c r="E210" s="75"/>
      <c r="F210" s="40">
        <v>46235</v>
      </c>
      <c r="G210" s="49" t="s">
        <v>7</v>
      </c>
      <c r="H210" s="40">
        <v>46235</v>
      </c>
      <c r="I210" s="49" t="s">
        <v>7</v>
      </c>
      <c r="J210" s="41">
        <v>46266</v>
      </c>
      <c r="K210" s="55" t="s">
        <v>7</v>
      </c>
      <c r="L210" s="116">
        <f>F210</f>
        <v>46235</v>
      </c>
      <c r="M210" s="117"/>
      <c r="N210" s="116">
        <f>F210</f>
        <v>46235</v>
      </c>
      <c r="O210" s="117"/>
      <c r="P210" s="18"/>
    </row>
    <row r="211" spans="1:16" ht="15.6" x14ac:dyDescent="0.3">
      <c r="A211" s="14" t="s">
        <v>8</v>
      </c>
      <c r="B211" s="15" t="s">
        <v>124</v>
      </c>
      <c r="C211" s="66">
        <f>C212+C213</f>
        <v>0</v>
      </c>
      <c r="D211" s="45"/>
      <c r="E211" s="66">
        <f>E212+E213</f>
        <v>0</v>
      </c>
      <c r="F211" s="67">
        <f>F212+F213</f>
        <v>0</v>
      </c>
      <c r="G211" s="50"/>
      <c r="H211" s="67">
        <f>H212+H213</f>
        <v>0</v>
      </c>
      <c r="I211" s="52"/>
      <c r="J211" s="23">
        <f>J212+J213</f>
        <v>0</v>
      </c>
      <c r="K211" s="56"/>
      <c r="L211" s="63">
        <f>H211-F211</f>
        <v>0</v>
      </c>
      <c r="M211" s="64">
        <f>IFERROR(L211/F211,0)</f>
        <v>0</v>
      </c>
      <c r="N211" s="63">
        <f>H211-C211</f>
        <v>0</v>
      </c>
      <c r="O211" s="64">
        <f>IFERROR(N211/C211,0)</f>
        <v>0</v>
      </c>
      <c r="P211" s="19"/>
    </row>
    <row r="212" spans="1:16" ht="15.6" x14ac:dyDescent="0.3">
      <c r="A212" s="2" t="s">
        <v>9</v>
      </c>
      <c r="B212" s="6" t="s">
        <v>10</v>
      </c>
      <c r="C212" s="24"/>
      <c r="D212" s="46"/>
      <c r="E212" s="24"/>
      <c r="F212" s="25"/>
      <c r="G212" s="51"/>
      <c r="H212" s="26"/>
      <c r="I212" s="51"/>
      <c r="J212" s="27"/>
      <c r="K212" s="57"/>
      <c r="L212" s="63">
        <f t="shared" ref="L212:L255" si="56">H212-F212</f>
        <v>0</v>
      </c>
      <c r="M212" s="64">
        <f t="shared" ref="M212:M255" si="57">IFERROR(L212/F212,0)</f>
        <v>0</v>
      </c>
      <c r="N212" s="63">
        <f t="shared" ref="N212:N255" si="58">H212-C212</f>
        <v>0</v>
      </c>
      <c r="O212" s="64">
        <f t="shared" ref="O212:O255" si="59">IFERROR(N212/C212,0)</f>
        <v>0</v>
      </c>
      <c r="P212" s="19"/>
    </row>
    <row r="213" spans="1:16" ht="15.6" x14ac:dyDescent="0.3">
      <c r="A213" s="2" t="s">
        <v>11</v>
      </c>
      <c r="B213" s="6" t="s">
        <v>12</v>
      </c>
      <c r="C213" s="24"/>
      <c r="D213" s="46"/>
      <c r="E213" s="24"/>
      <c r="F213" s="25"/>
      <c r="G213" s="51"/>
      <c r="H213" s="25"/>
      <c r="I213" s="51"/>
      <c r="J213" s="27"/>
      <c r="K213" s="57"/>
      <c r="L213" s="63">
        <f t="shared" si="56"/>
        <v>0</v>
      </c>
      <c r="M213" s="64">
        <f t="shared" si="57"/>
        <v>0</v>
      </c>
      <c r="N213" s="63">
        <f t="shared" si="58"/>
        <v>0</v>
      </c>
      <c r="O213" s="64">
        <f t="shared" si="59"/>
        <v>0</v>
      </c>
      <c r="P213" s="65"/>
    </row>
    <row r="214" spans="1:16" ht="15.6" x14ac:dyDescent="0.3">
      <c r="A214" s="14" t="s">
        <v>13</v>
      </c>
      <c r="B214" s="22" t="s">
        <v>14</v>
      </c>
      <c r="C214" s="66">
        <f>C218+C219+C220+C229+C230+C231+C215</f>
        <v>0</v>
      </c>
      <c r="D214" s="45"/>
      <c r="E214" s="66">
        <f>E218+E219+E220+E229+E230+E231+E215</f>
        <v>0</v>
      </c>
      <c r="F214" s="67">
        <f>F218+F219+F220+F229+F230+F231+F215</f>
        <v>0</v>
      </c>
      <c r="G214" s="52"/>
      <c r="H214" s="67">
        <f>H218+H219+H220+H229+H230+H231+H215</f>
        <v>0</v>
      </c>
      <c r="I214" s="52"/>
      <c r="J214" s="23">
        <f>J218+J219+J220+J229+J230+J231+J215</f>
        <v>0</v>
      </c>
      <c r="K214" s="58"/>
      <c r="L214" s="63">
        <f t="shared" si="56"/>
        <v>0</v>
      </c>
      <c r="M214" s="64">
        <f t="shared" si="57"/>
        <v>0</v>
      </c>
      <c r="N214" s="63">
        <f t="shared" si="58"/>
        <v>0</v>
      </c>
      <c r="O214" s="64">
        <f t="shared" si="59"/>
        <v>0</v>
      </c>
      <c r="P214" s="18"/>
    </row>
    <row r="215" spans="1:16" ht="15.6" x14ac:dyDescent="0.3">
      <c r="A215" s="17" t="s">
        <v>15</v>
      </c>
      <c r="B215" s="7" t="s">
        <v>16</v>
      </c>
      <c r="C215" s="24">
        <f>C216+C217</f>
        <v>0</v>
      </c>
      <c r="D215" s="46">
        <f t="shared" ref="D215:D254" si="60">IFERROR(C215/$C$214,0)</f>
        <v>0</v>
      </c>
      <c r="E215" s="24">
        <f>E217+E216</f>
        <v>0</v>
      </c>
      <c r="F215" s="25">
        <f>F217+F216</f>
        <v>0</v>
      </c>
      <c r="G215" s="51">
        <f>IFERROR(F215/$F$214,0)</f>
        <v>0</v>
      </c>
      <c r="H215" s="25">
        <f>H216+H217</f>
        <v>0</v>
      </c>
      <c r="I215" s="51">
        <f>IFERROR(H215/$H$214,0)</f>
        <v>0</v>
      </c>
      <c r="J215" s="27">
        <f>J216+J217</f>
        <v>0</v>
      </c>
      <c r="K215" s="59">
        <f>IFERROR(J215/$J$214,0)</f>
        <v>0</v>
      </c>
      <c r="L215" s="63">
        <f t="shared" si="56"/>
        <v>0</v>
      </c>
      <c r="M215" s="64">
        <f t="shared" si="57"/>
        <v>0</v>
      </c>
      <c r="N215" s="63">
        <f t="shared" si="58"/>
        <v>0</v>
      </c>
      <c r="O215" s="64">
        <f t="shared" si="59"/>
        <v>0</v>
      </c>
      <c r="P215" s="18"/>
    </row>
    <row r="216" spans="1:16" ht="15.6" x14ac:dyDescent="0.3">
      <c r="A216" s="2" t="s">
        <v>17</v>
      </c>
      <c r="B216" s="8" t="s">
        <v>18</v>
      </c>
      <c r="C216" s="24"/>
      <c r="D216" s="46">
        <f t="shared" si="60"/>
        <v>0</v>
      </c>
      <c r="E216" s="24"/>
      <c r="F216" s="25"/>
      <c r="G216" s="51">
        <f t="shared" ref="G216:G254" si="61">IFERROR(F216/$F$214,0)</f>
        <v>0</v>
      </c>
      <c r="H216" s="25"/>
      <c r="I216" s="51">
        <f t="shared" ref="I216:I254" si="62">IFERROR(H216/$H$214,0)</f>
        <v>0</v>
      </c>
      <c r="J216" s="27"/>
      <c r="K216" s="59">
        <f t="shared" ref="K216:K254" si="63">IFERROR(J216/$J$214,0)</f>
        <v>0</v>
      </c>
      <c r="L216" s="63">
        <f t="shared" si="56"/>
        <v>0</v>
      </c>
      <c r="M216" s="64">
        <f t="shared" si="57"/>
        <v>0</v>
      </c>
      <c r="N216" s="63">
        <f t="shared" si="58"/>
        <v>0</v>
      </c>
      <c r="O216" s="64">
        <f t="shared" si="59"/>
        <v>0</v>
      </c>
      <c r="P216" s="18"/>
    </row>
    <row r="217" spans="1:16" ht="15.6" x14ac:dyDescent="0.3">
      <c r="A217" s="18" t="s">
        <v>19</v>
      </c>
      <c r="B217" s="8" t="s">
        <v>20</v>
      </c>
      <c r="C217" s="24"/>
      <c r="D217" s="46">
        <f t="shared" si="60"/>
        <v>0</v>
      </c>
      <c r="E217" s="24"/>
      <c r="F217" s="25"/>
      <c r="G217" s="51">
        <f t="shared" si="61"/>
        <v>0</v>
      </c>
      <c r="H217" s="25"/>
      <c r="I217" s="51">
        <f t="shared" si="62"/>
        <v>0</v>
      </c>
      <c r="J217" s="27"/>
      <c r="K217" s="59">
        <f t="shared" si="63"/>
        <v>0</v>
      </c>
      <c r="L217" s="63">
        <f t="shared" si="56"/>
        <v>0</v>
      </c>
      <c r="M217" s="64">
        <f t="shared" si="57"/>
        <v>0</v>
      </c>
      <c r="N217" s="63">
        <f t="shared" si="58"/>
        <v>0</v>
      </c>
      <c r="O217" s="64">
        <f t="shared" si="59"/>
        <v>0</v>
      </c>
      <c r="P217" s="18"/>
    </row>
    <row r="218" spans="1:16" ht="15.6" x14ac:dyDescent="0.3">
      <c r="A218" s="2" t="s">
        <v>21</v>
      </c>
      <c r="B218" s="7" t="s">
        <v>22</v>
      </c>
      <c r="C218" s="24"/>
      <c r="D218" s="46">
        <f t="shared" si="60"/>
        <v>0</v>
      </c>
      <c r="E218" s="24"/>
      <c r="F218" s="25"/>
      <c r="G218" s="51">
        <f t="shared" si="61"/>
        <v>0</v>
      </c>
      <c r="H218" s="25"/>
      <c r="I218" s="51">
        <f t="shared" si="62"/>
        <v>0</v>
      </c>
      <c r="J218" s="27"/>
      <c r="K218" s="59">
        <f t="shared" si="63"/>
        <v>0</v>
      </c>
      <c r="L218" s="63">
        <f t="shared" si="56"/>
        <v>0</v>
      </c>
      <c r="M218" s="64">
        <f t="shared" si="57"/>
        <v>0</v>
      </c>
      <c r="N218" s="63">
        <f t="shared" si="58"/>
        <v>0</v>
      </c>
      <c r="O218" s="64">
        <f t="shared" si="59"/>
        <v>0</v>
      </c>
      <c r="P218" s="18"/>
    </row>
    <row r="219" spans="1:16" ht="15.6" x14ac:dyDescent="0.3">
      <c r="A219" s="2" t="s">
        <v>23</v>
      </c>
      <c r="B219" s="7" t="s">
        <v>24</v>
      </c>
      <c r="C219" s="24"/>
      <c r="D219" s="46">
        <f t="shared" si="60"/>
        <v>0</v>
      </c>
      <c r="E219" s="24"/>
      <c r="F219" s="25"/>
      <c r="G219" s="51">
        <f t="shared" si="61"/>
        <v>0</v>
      </c>
      <c r="H219" s="25"/>
      <c r="I219" s="51">
        <f t="shared" si="62"/>
        <v>0</v>
      </c>
      <c r="J219" s="27"/>
      <c r="K219" s="59">
        <f t="shared" si="63"/>
        <v>0</v>
      </c>
      <c r="L219" s="63">
        <f t="shared" si="56"/>
        <v>0</v>
      </c>
      <c r="M219" s="64">
        <f t="shared" si="57"/>
        <v>0</v>
      </c>
      <c r="N219" s="63">
        <f t="shared" si="58"/>
        <v>0</v>
      </c>
      <c r="O219" s="64">
        <f t="shared" si="59"/>
        <v>0</v>
      </c>
      <c r="P219" s="18"/>
    </row>
    <row r="220" spans="1:16" ht="15.6" x14ac:dyDescent="0.3">
      <c r="A220" s="2" t="s">
        <v>25</v>
      </c>
      <c r="B220" s="7" t="s">
        <v>26</v>
      </c>
      <c r="C220" s="24">
        <f>SUM(C221:C228)</f>
        <v>0</v>
      </c>
      <c r="D220" s="46">
        <f t="shared" si="60"/>
        <v>0</v>
      </c>
      <c r="E220" s="24">
        <f>SUM(E221:E228)</f>
        <v>0</v>
      </c>
      <c r="F220" s="25">
        <f>SUM(F221:F228)</f>
        <v>0</v>
      </c>
      <c r="G220" s="51">
        <f t="shared" si="61"/>
        <v>0</v>
      </c>
      <c r="H220" s="25">
        <f>SUM(H221:H228)</f>
        <v>0</v>
      </c>
      <c r="I220" s="51">
        <f t="shared" si="62"/>
        <v>0</v>
      </c>
      <c r="J220" s="27">
        <f>SUM(J221:J228)</f>
        <v>0</v>
      </c>
      <c r="K220" s="59">
        <f t="shared" si="63"/>
        <v>0</v>
      </c>
      <c r="L220" s="63">
        <f t="shared" si="56"/>
        <v>0</v>
      </c>
      <c r="M220" s="64">
        <f t="shared" si="57"/>
        <v>0</v>
      </c>
      <c r="N220" s="63">
        <f t="shared" si="58"/>
        <v>0</v>
      </c>
      <c r="O220" s="64">
        <f t="shared" si="59"/>
        <v>0</v>
      </c>
      <c r="P220" s="18"/>
    </row>
    <row r="221" spans="1:16" ht="15.6" x14ac:dyDescent="0.3">
      <c r="A221" s="2" t="s">
        <v>27</v>
      </c>
      <c r="B221" s="9" t="s">
        <v>28</v>
      </c>
      <c r="C221" s="24"/>
      <c r="D221" s="46">
        <f t="shared" si="60"/>
        <v>0</v>
      </c>
      <c r="E221" s="24"/>
      <c r="F221" s="25"/>
      <c r="G221" s="51">
        <f t="shared" si="61"/>
        <v>0</v>
      </c>
      <c r="H221" s="25"/>
      <c r="I221" s="51">
        <f t="shared" si="62"/>
        <v>0</v>
      </c>
      <c r="J221" s="27"/>
      <c r="K221" s="59">
        <f t="shared" si="63"/>
        <v>0</v>
      </c>
      <c r="L221" s="63">
        <f t="shared" si="56"/>
        <v>0</v>
      </c>
      <c r="M221" s="64">
        <f t="shared" si="57"/>
        <v>0</v>
      </c>
      <c r="N221" s="63">
        <f t="shared" si="58"/>
        <v>0</v>
      </c>
      <c r="O221" s="64">
        <f t="shared" si="59"/>
        <v>0</v>
      </c>
      <c r="P221" s="18"/>
    </row>
    <row r="222" spans="1:16" ht="15.6" x14ac:dyDescent="0.3">
      <c r="A222" s="2" t="s">
        <v>29</v>
      </c>
      <c r="B222" s="9" t="s">
        <v>30</v>
      </c>
      <c r="C222" s="24"/>
      <c r="D222" s="46">
        <f t="shared" si="60"/>
        <v>0</v>
      </c>
      <c r="E222" s="24"/>
      <c r="F222" s="25"/>
      <c r="G222" s="51">
        <f t="shared" si="61"/>
        <v>0</v>
      </c>
      <c r="H222" s="25"/>
      <c r="I222" s="51">
        <f t="shared" si="62"/>
        <v>0</v>
      </c>
      <c r="J222" s="27"/>
      <c r="K222" s="59">
        <f t="shared" si="63"/>
        <v>0</v>
      </c>
      <c r="L222" s="63">
        <f t="shared" si="56"/>
        <v>0</v>
      </c>
      <c r="M222" s="64">
        <f t="shared" si="57"/>
        <v>0</v>
      </c>
      <c r="N222" s="63">
        <f t="shared" si="58"/>
        <v>0</v>
      </c>
      <c r="O222" s="64">
        <f t="shared" si="59"/>
        <v>0</v>
      </c>
      <c r="P222" s="18"/>
    </row>
    <row r="223" spans="1:16" ht="15.6" x14ac:dyDescent="0.3">
      <c r="A223" s="2" t="s">
        <v>31</v>
      </c>
      <c r="B223" s="9" t="s">
        <v>32</v>
      </c>
      <c r="C223" s="24"/>
      <c r="D223" s="46">
        <f t="shared" si="60"/>
        <v>0</v>
      </c>
      <c r="E223" s="24"/>
      <c r="F223" s="25"/>
      <c r="G223" s="51">
        <f t="shared" si="61"/>
        <v>0</v>
      </c>
      <c r="H223" s="25"/>
      <c r="I223" s="51">
        <f t="shared" si="62"/>
        <v>0</v>
      </c>
      <c r="J223" s="27"/>
      <c r="K223" s="59">
        <f t="shared" si="63"/>
        <v>0</v>
      </c>
      <c r="L223" s="63">
        <f t="shared" si="56"/>
        <v>0</v>
      </c>
      <c r="M223" s="64">
        <f t="shared" si="57"/>
        <v>0</v>
      </c>
      <c r="N223" s="63">
        <f t="shared" si="58"/>
        <v>0</v>
      </c>
      <c r="O223" s="64">
        <f t="shared" si="59"/>
        <v>0</v>
      </c>
      <c r="P223" s="18"/>
    </row>
    <row r="224" spans="1:16" ht="15.6" x14ac:dyDescent="0.3">
      <c r="A224" s="2" t="s">
        <v>33</v>
      </c>
      <c r="B224" s="9" t="s">
        <v>34</v>
      </c>
      <c r="C224" s="24"/>
      <c r="D224" s="46">
        <f t="shared" si="60"/>
        <v>0</v>
      </c>
      <c r="E224" s="24"/>
      <c r="F224" s="25"/>
      <c r="G224" s="51">
        <f t="shared" si="61"/>
        <v>0</v>
      </c>
      <c r="H224" s="25"/>
      <c r="I224" s="51">
        <f t="shared" si="62"/>
        <v>0</v>
      </c>
      <c r="J224" s="27"/>
      <c r="K224" s="59">
        <f t="shared" si="63"/>
        <v>0</v>
      </c>
      <c r="L224" s="63">
        <f t="shared" si="56"/>
        <v>0</v>
      </c>
      <c r="M224" s="64">
        <f t="shared" si="57"/>
        <v>0</v>
      </c>
      <c r="N224" s="63">
        <f t="shared" si="58"/>
        <v>0</v>
      </c>
      <c r="O224" s="64">
        <f t="shared" si="59"/>
        <v>0</v>
      </c>
      <c r="P224" s="18"/>
    </row>
    <row r="225" spans="1:16" ht="15.6" x14ac:dyDescent="0.3">
      <c r="A225" s="2" t="s">
        <v>35</v>
      </c>
      <c r="B225" s="9" t="s">
        <v>36</v>
      </c>
      <c r="C225" s="24"/>
      <c r="D225" s="46">
        <f t="shared" si="60"/>
        <v>0</v>
      </c>
      <c r="E225" s="24"/>
      <c r="F225" s="25"/>
      <c r="G225" s="51">
        <f t="shared" si="61"/>
        <v>0</v>
      </c>
      <c r="H225" s="25"/>
      <c r="I225" s="51">
        <f t="shared" si="62"/>
        <v>0</v>
      </c>
      <c r="J225" s="27"/>
      <c r="K225" s="59">
        <f t="shared" si="63"/>
        <v>0</v>
      </c>
      <c r="L225" s="63">
        <f t="shared" si="56"/>
        <v>0</v>
      </c>
      <c r="M225" s="64">
        <f t="shared" si="57"/>
        <v>0</v>
      </c>
      <c r="N225" s="63">
        <f t="shared" si="58"/>
        <v>0</v>
      </c>
      <c r="O225" s="64">
        <f t="shared" si="59"/>
        <v>0</v>
      </c>
      <c r="P225" s="18"/>
    </row>
    <row r="226" spans="1:16" ht="27.6" x14ac:dyDescent="0.3">
      <c r="A226" s="2" t="s">
        <v>37</v>
      </c>
      <c r="B226" s="9" t="s">
        <v>38</v>
      </c>
      <c r="C226" s="24"/>
      <c r="D226" s="46">
        <f t="shared" si="60"/>
        <v>0</v>
      </c>
      <c r="E226" s="24"/>
      <c r="F226" s="25"/>
      <c r="G226" s="51">
        <f t="shared" si="61"/>
        <v>0</v>
      </c>
      <c r="H226" s="25"/>
      <c r="I226" s="51">
        <f t="shared" si="62"/>
        <v>0</v>
      </c>
      <c r="J226" s="27"/>
      <c r="K226" s="59">
        <f t="shared" si="63"/>
        <v>0</v>
      </c>
      <c r="L226" s="63">
        <f t="shared" si="56"/>
        <v>0</v>
      </c>
      <c r="M226" s="64">
        <f t="shared" si="57"/>
        <v>0</v>
      </c>
      <c r="N226" s="63">
        <f t="shared" si="58"/>
        <v>0</v>
      </c>
      <c r="O226" s="64">
        <f t="shared" si="59"/>
        <v>0</v>
      </c>
      <c r="P226" s="18"/>
    </row>
    <row r="227" spans="1:16" ht="15.6" x14ac:dyDescent="0.3">
      <c r="A227" s="2" t="s">
        <v>39</v>
      </c>
      <c r="B227" s="9" t="s">
        <v>40</v>
      </c>
      <c r="C227" s="24"/>
      <c r="D227" s="46">
        <f t="shared" si="60"/>
        <v>0</v>
      </c>
      <c r="E227" s="24"/>
      <c r="F227" s="25"/>
      <c r="G227" s="51">
        <f t="shared" si="61"/>
        <v>0</v>
      </c>
      <c r="H227" s="25"/>
      <c r="I227" s="51">
        <f t="shared" si="62"/>
        <v>0</v>
      </c>
      <c r="J227" s="27"/>
      <c r="K227" s="59">
        <f t="shared" si="63"/>
        <v>0</v>
      </c>
      <c r="L227" s="63">
        <f t="shared" si="56"/>
        <v>0</v>
      </c>
      <c r="M227" s="64">
        <f t="shared" si="57"/>
        <v>0</v>
      </c>
      <c r="N227" s="63">
        <f t="shared" si="58"/>
        <v>0</v>
      </c>
      <c r="O227" s="64">
        <f t="shared" si="59"/>
        <v>0</v>
      </c>
      <c r="P227" s="18"/>
    </row>
    <row r="228" spans="1:16" ht="15.6" x14ac:dyDescent="0.3">
      <c r="A228" s="2" t="s">
        <v>41</v>
      </c>
      <c r="B228" s="9" t="s">
        <v>42</v>
      </c>
      <c r="C228" s="24"/>
      <c r="D228" s="46">
        <f t="shared" si="60"/>
        <v>0</v>
      </c>
      <c r="E228" s="24"/>
      <c r="F228" s="25"/>
      <c r="G228" s="51">
        <f t="shared" si="61"/>
        <v>0</v>
      </c>
      <c r="H228" s="25"/>
      <c r="I228" s="51">
        <f t="shared" si="62"/>
        <v>0</v>
      </c>
      <c r="J228" s="27"/>
      <c r="K228" s="59">
        <f t="shared" si="63"/>
        <v>0</v>
      </c>
      <c r="L228" s="63">
        <f t="shared" si="56"/>
        <v>0</v>
      </c>
      <c r="M228" s="64">
        <f t="shared" si="57"/>
        <v>0</v>
      </c>
      <c r="N228" s="63">
        <f t="shared" si="58"/>
        <v>0</v>
      </c>
      <c r="O228" s="64">
        <f t="shared" si="59"/>
        <v>0</v>
      </c>
      <c r="P228" s="18"/>
    </row>
    <row r="229" spans="1:16" ht="15.6" x14ac:dyDescent="0.3">
      <c r="A229" s="2" t="s">
        <v>43</v>
      </c>
      <c r="B229" s="7" t="s">
        <v>44</v>
      </c>
      <c r="C229" s="24"/>
      <c r="D229" s="46">
        <f t="shared" si="60"/>
        <v>0</v>
      </c>
      <c r="E229" s="24"/>
      <c r="F229" s="25"/>
      <c r="G229" s="51">
        <f t="shared" si="61"/>
        <v>0</v>
      </c>
      <c r="H229" s="25"/>
      <c r="I229" s="51">
        <f t="shared" si="62"/>
        <v>0</v>
      </c>
      <c r="J229" s="27"/>
      <c r="K229" s="59">
        <f t="shared" si="63"/>
        <v>0</v>
      </c>
      <c r="L229" s="63">
        <f t="shared" si="56"/>
        <v>0</v>
      </c>
      <c r="M229" s="64">
        <f t="shared" si="57"/>
        <v>0</v>
      </c>
      <c r="N229" s="63">
        <f t="shared" si="58"/>
        <v>0</v>
      </c>
      <c r="O229" s="64">
        <f t="shared" si="59"/>
        <v>0</v>
      </c>
      <c r="P229" s="18"/>
    </row>
    <row r="230" spans="1:16" ht="15.6" x14ac:dyDescent="0.3">
      <c r="A230" s="2" t="s">
        <v>45</v>
      </c>
      <c r="B230" s="7" t="s">
        <v>46</v>
      </c>
      <c r="C230" s="24"/>
      <c r="D230" s="46">
        <f t="shared" si="60"/>
        <v>0</v>
      </c>
      <c r="E230" s="24"/>
      <c r="F230" s="25"/>
      <c r="G230" s="51">
        <f t="shared" si="61"/>
        <v>0</v>
      </c>
      <c r="H230" s="25"/>
      <c r="I230" s="51">
        <f t="shared" si="62"/>
        <v>0</v>
      </c>
      <c r="J230" s="27"/>
      <c r="K230" s="59">
        <f t="shared" si="63"/>
        <v>0</v>
      </c>
      <c r="L230" s="63">
        <f t="shared" si="56"/>
        <v>0</v>
      </c>
      <c r="M230" s="64">
        <f t="shared" si="57"/>
        <v>0</v>
      </c>
      <c r="N230" s="63">
        <f t="shared" si="58"/>
        <v>0</v>
      </c>
      <c r="O230" s="64">
        <f t="shared" si="59"/>
        <v>0</v>
      </c>
      <c r="P230" s="18"/>
    </row>
    <row r="231" spans="1:16" s="16" customFormat="1" ht="15.6" x14ac:dyDescent="0.3">
      <c r="A231" s="14" t="s">
        <v>47</v>
      </c>
      <c r="B231" s="22" t="s">
        <v>48</v>
      </c>
      <c r="C231" s="66">
        <f>SUM(C232:C254)</f>
        <v>0</v>
      </c>
      <c r="D231" s="46">
        <f t="shared" si="60"/>
        <v>0</v>
      </c>
      <c r="E231" s="66">
        <f>SUM(E232:E254)</f>
        <v>0</v>
      </c>
      <c r="F231" s="67">
        <f>SUM(F232:F254)</f>
        <v>0</v>
      </c>
      <c r="G231" s="51">
        <f t="shared" si="61"/>
        <v>0</v>
      </c>
      <c r="H231" s="67">
        <f>SUM(H232:H254)</f>
        <v>0</v>
      </c>
      <c r="I231" s="51">
        <f t="shared" si="62"/>
        <v>0</v>
      </c>
      <c r="J231" s="23">
        <f>SUM(J232:J254)</f>
        <v>0</v>
      </c>
      <c r="K231" s="59">
        <f t="shared" si="63"/>
        <v>0</v>
      </c>
      <c r="L231" s="63">
        <f t="shared" si="56"/>
        <v>0</v>
      </c>
      <c r="M231" s="64">
        <f t="shared" si="57"/>
        <v>0</v>
      </c>
      <c r="N231" s="63">
        <f t="shared" si="58"/>
        <v>0</v>
      </c>
      <c r="O231" s="64">
        <f t="shared" si="59"/>
        <v>0</v>
      </c>
      <c r="P231" s="18"/>
    </row>
    <row r="232" spans="1:16" ht="15.6" x14ac:dyDescent="0.3">
      <c r="A232" s="2" t="s">
        <v>49</v>
      </c>
      <c r="B232" s="10" t="s">
        <v>50</v>
      </c>
      <c r="C232" s="29"/>
      <c r="D232" s="46">
        <f t="shared" si="60"/>
        <v>0</v>
      </c>
      <c r="E232" s="24"/>
      <c r="F232" s="25"/>
      <c r="G232" s="51">
        <f t="shared" si="61"/>
        <v>0</v>
      </c>
      <c r="H232" s="25"/>
      <c r="I232" s="51">
        <f t="shared" si="62"/>
        <v>0</v>
      </c>
      <c r="J232" s="27"/>
      <c r="K232" s="59">
        <f t="shared" si="63"/>
        <v>0</v>
      </c>
      <c r="L232" s="63">
        <f t="shared" si="56"/>
        <v>0</v>
      </c>
      <c r="M232" s="64">
        <f t="shared" si="57"/>
        <v>0</v>
      </c>
      <c r="N232" s="63">
        <f t="shared" si="58"/>
        <v>0</v>
      </c>
      <c r="O232" s="64">
        <f t="shared" si="59"/>
        <v>0</v>
      </c>
      <c r="P232" s="18"/>
    </row>
    <row r="233" spans="1:16" ht="15.6" x14ac:dyDescent="0.3">
      <c r="A233" s="2" t="s">
        <v>51</v>
      </c>
      <c r="B233" s="10" t="s">
        <v>52</v>
      </c>
      <c r="C233" s="24"/>
      <c r="D233" s="46">
        <f t="shared" si="60"/>
        <v>0</v>
      </c>
      <c r="E233" s="24"/>
      <c r="F233" s="25"/>
      <c r="G233" s="51">
        <f t="shared" si="61"/>
        <v>0</v>
      </c>
      <c r="H233" s="25"/>
      <c r="I233" s="51">
        <f t="shared" si="62"/>
        <v>0</v>
      </c>
      <c r="J233" s="27"/>
      <c r="K233" s="59">
        <f t="shared" si="63"/>
        <v>0</v>
      </c>
      <c r="L233" s="63">
        <f t="shared" si="56"/>
        <v>0</v>
      </c>
      <c r="M233" s="64">
        <f t="shared" si="57"/>
        <v>0</v>
      </c>
      <c r="N233" s="63">
        <f t="shared" si="58"/>
        <v>0</v>
      </c>
      <c r="O233" s="64">
        <f t="shared" si="59"/>
        <v>0</v>
      </c>
      <c r="P233" s="18"/>
    </row>
    <row r="234" spans="1:16" ht="15.6" x14ac:dyDescent="0.3">
      <c r="A234" s="2" t="s">
        <v>53</v>
      </c>
      <c r="B234" s="10" t="s">
        <v>54</v>
      </c>
      <c r="C234" s="24"/>
      <c r="D234" s="46">
        <f t="shared" si="60"/>
        <v>0</v>
      </c>
      <c r="E234" s="24"/>
      <c r="F234" s="25"/>
      <c r="G234" s="51">
        <f t="shared" si="61"/>
        <v>0</v>
      </c>
      <c r="H234" s="25"/>
      <c r="I234" s="51">
        <f t="shared" si="62"/>
        <v>0</v>
      </c>
      <c r="J234" s="27"/>
      <c r="K234" s="59">
        <f t="shared" si="63"/>
        <v>0</v>
      </c>
      <c r="L234" s="63">
        <f t="shared" si="56"/>
        <v>0</v>
      </c>
      <c r="M234" s="64">
        <f t="shared" si="57"/>
        <v>0</v>
      </c>
      <c r="N234" s="63">
        <f t="shared" si="58"/>
        <v>0</v>
      </c>
      <c r="O234" s="64">
        <f t="shared" si="59"/>
        <v>0</v>
      </c>
      <c r="P234" s="18"/>
    </row>
    <row r="235" spans="1:16" ht="15.6" x14ac:dyDescent="0.3">
      <c r="A235" s="2" t="s">
        <v>55</v>
      </c>
      <c r="B235" s="10" t="s">
        <v>56</v>
      </c>
      <c r="C235" s="24"/>
      <c r="D235" s="46">
        <f t="shared" si="60"/>
        <v>0</v>
      </c>
      <c r="E235" s="24"/>
      <c r="F235" s="25"/>
      <c r="G235" s="51">
        <f t="shared" si="61"/>
        <v>0</v>
      </c>
      <c r="H235" s="25"/>
      <c r="I235" s="51">
        <f t="shared" si="62"/>
        <v>0</v>
      </c>
      <c r="J235" s="27"/>
      <c r="K235" s="59">
        <f t="shared" si="63"/>
        <v>0</v>
      </c>
      <c r="L235" s="63">
        <f t="shared" si="56"/>
        <v>0</v>
      </c>
      <c r="M235" s="64">
        <f t="shared" si="57"/>
        <v>0</v>
      </c>
      <c r="N235" s="63">
        <f t="shared" si="58"/>
        <v>0</v>
      </c>
      <c r="O235" s="64">
        <f t="shared" si="59"/>
        <v>0</v>
      </c>
      <c r="P235" s="18"/>
    </row>
    <row r="236" spans="1:16" ht="15.6" x14ac:dyDescent="0.3">
      <c r="A236" s="2" t="s">
        <v>57</v>
      </c>
      <c r="B236" s="10" t="s">
        <v>58</v>
      </c>
      <c r="C236" s="29"/>
      <c r="D236" s="46">
        <f t="shared" si="60"/>
        <v>0</v>
      </c>
      <c r="E236" s="24"/>
      <c r="F236" s="25"/>
      <c r="G236" s="51">
        <f t="shared" si="61"/>
        <v>0</v>
      </c>
      <c r="H236" s="25"/>
      <c r="I236" s="51">
        <f t="shared" si="62"/>
        <v>0</v>
      </c>
      <c r="J236" s="27"/>
      <c r="K236" s="59">
        <f t="shared" si="63"/>
        <v>0</v>
      </c>
      <c r="L236" s="63">
        <f t="shared" si="56"/>
        <v>0</v>
      </c>
      <c r="M236" s="64">
        <f t="shared" si="57"/>
        <v>0</v>
      </c>
      <c r="N236" s="63">
        <f t="shared" si="58"/>
        <v>0</v>
      </c>
      <c r="O236" s="64">
        <f t="shared" si="59"/>
        <v>0</v>
      </c>
      <c r="P236" s="18"/>
    </row>
    <row r="237" spans="1:16" ht="15.6" x14ac:dyDescent="0.3">
      <c r="A237" s="2" t="s">
        <v>59</v>
      </c>
      <c r="B237" s="10" t="s">
        <v>60</v>
      </c>
      <c r="C237" s="24"/>
      <c r="D237" s="46">
        <f t="shared" si="60"/>
        <v>0</v>
      </c>
      <c r="E237" s="24"/>
      <c r="F237" s="25"/>
      <c r="G237" s="51">
        <f t="shared" si="61"/>
        <v>0</v>
      </c>
      <c r="H237" s="25"/>
      <c r="I237" s="51">
        <f t="shared" si="62"/>
        <v>0</v>
      </c>
      <c r="J237" s="27"/>
      <c r="K237" s="59">
        <f t="shared" si="63"/>
        <v>0</v>
      </c>
      <c r="L237" s="63">
        <f t="shared" si="56"/>
        <v>0</v>
      </c>
      <c r="M237" s="64">
        <f t="shared" si="57"/>
        <v>0</v>
      </c>
      <c r="N237" s="63">
        <f t="shared" si="58"/>
        <v>0</v>
      </c>
      <c r="O237" s="64">
        <f t="shared" si="59"/>
        <v>0</v>
      </c>
      <c r="P237" s="18"/>
    </row>
    <row r="238" spans="1:16" ht="15.6" x14ac:dyDescent="0.3">
      <c r="A238" s="2" t="s">
        <v>61</v>
      </c>
      <c r="B238" s="10" t="s">
        <v>62</v>
      </c>
      <c r="C238" s="29"/>
      <c r="D238" s="46">
        <f t="shared" si="60"/>
        <v>0</v>
      </c>
      <c r="E238" s="24"/>
      <c r="F238" s="25"/>
      <c r="G238" s="51">
        <f t="shared" si="61"/>
        <v>0</v>
      </c>
      <c r="H238" s="25"/>
      <c r="I238" s="51">
        <f t="shared" si="62"/>
        <v>0</v>
      </c>
      <c r="J238" s="27"/>
      <c r="K238" s="59">
        <f t="shared" si="63"/>
        <v>0</v>
      </c>
      <c r="L238" s="63">
        <f t="shared" si="56"/>
        <v>0</v>
      </c>
      <c r="M238" s="64">
        <f t="shared" si="57"/>
        <v>0</v>
      </c>
      <c r="N238" s="63">
        <f t="shared" si="58"/>
        <v>0</v>
      </c>
      <c r="O238" s="64">
        <f t="shared" si="59"/>
        <v>0</v>
      </c>
      <c r="P238" s="18"/>
    </row>
    <row r="239" spans="1:16" ht="15.6" x14ac:dyDescent="0.3">
      <c r="A239" s="2" t="s">
        <v>63</v>
      </c>
      <c r="B239" s="10" t="s">
        <v>64</v>
      </c>
      <c r="C239" s="24"/>
      <c r="D239" s="46">
        <f t="shared" si="60"/>
        <v>0</v>
      </c>
      <c r="E239" s="24"/>
      <c r="F239" s="25"/>
      <c r="G239" s="51">
        <f t="shared" si="61"/>
        <v>0</v>
      </c>
      <c r="H239" s="25"/>
      <c r="I239" s="51">
        <f t="shared" si="62"/>
        <v>0</v>
      </c>
      <c r="J239" s="27"/>
      <c r="K239" s="59">
        <f t="shared" si="63"/>
        <v>0</v>
      </c>
      <c r="L239" s="63">
        <f t="shared" si="56"/>
        <v>0</v>
      </c>
      <c r="M239" s="64">
        <f t="shared" si="57"/>
        <v>0</v>
      </c>
      <c r="N239" s="63">
        <f t="shared" si="58"/>
        <v>0</v>
      </c>
      <c r="O239" s="64">
        <f t="shared" si="59"/>
        <v>0</v>
      </c>
      <c r="P239" s="18"/>
    </row>
    <row r="240" spans="1:16" ht="15.6" x14ac:dyDescent="0.3">
      <c r="A240" s="2" t="s">
        <v>65</v>
      </c>
      <c r="B240" s="10" t="s">
        <v>66</v>
      </c>
      <c r="C240" s="29"/>
      <c r="D240" s="46">
        <f t="shared" si="60"/>
        <v>0</v>
      </c>
      <c r="E240" s="24"/>
      <c r="F240" s="25"/>
      <c r="G240" s="51">
        <f t="shared" si="61"/>
        <v>0</v>
      </c>
      <c r="H240" s="25"/>
      <c r="I240" s="51">
        <f t="shared" si="62"/>
        <v>0</v>
      </c>
      <c r="J240" s="27"/>
      <c r="K240" s="59">
        <f t="shared" si="63"/>
        <v>0</v>
      </c>
      <c r="L240" s="63">
        <f t="shared" si="56"/>
        <v>0</v>
      </c>
      <c r="M240" s="64">
        <f t="shared" si="57"/>
        <v>0</v>
      </c>
      <c r="N240" s="63">
        <f t="shared" si="58"/>
        <v>0</v>
      </c>
      <c r="O240" s="64">
        <f t="shared" si="59"/>
        <v>0</v>
      </c>
      <c r="P240" s="18"/>
    </row>
    <row r="241" spans="1:16" ht="15.6" x14ac:dyDescent="0.3">
      <c r="A241" s="2" t="s">
        <v>67</v>
      </c>
      <c r="B241" s="10" t="s">
        <v>68</v>
      </c>
      <c r="C241" s="29"/>
      <c r="D241" s="46">
        <f t="shared" si="60"/>
        <v>0</v>
      </c>
      <c r="E241" s="24"/>
      <c r="F241" s="25"/>
      <c r="G241" s="51">
        <f t="shared" si="61"/>
        <v>0</v>
      </c>
      <c r="H241" s="25"/>
      <c r="I241" s="51">
        <f t="shared" si="62"/>
        <v>0</v>
      </c>
      <c r="J241" s="27"/>
      <c r="K241" s="59">
        <f t="shared" si="63"/>
        <v>0</v>
      </c>
      <c r="L241" s="63">
        <f t="shared" si="56"/>
        <v>0</v>
      </c>
      <c r="M241" s="64">
        <f t="shared" si="57"/>
        <v>0</v>
      </c>
      <c r="N241" s="63">
        <f t="shared" si="58"/>
        <v>0</v>
      </c>
      <c r="O241" s="64">
        <f t="shared" si="59"/>
        <v>0</v>
      </c>
      <c r="P241" s="18"/>
    </row>
    <row r="242" spans="1:16" ht="15.6" x14ac:dyDescent="0.3">
      <c r="A242" s="2" t="s">
        <v>69</v>
      </c>
      <c r="B242" s="10" t="s">
        <v>70</v>
      </c>
      <c r="C242" s="29"/>
      <c r="D242" s="46">
        <f t="shared" si="60"/>
        <v>0</v>
      </c>
      <c r="E242" s="24"/>
      <c r="F242" s="25"/>
      <c r="G242" s="51">
        <f t="shared" si="61"/>
        <v>0</v>
      </c>
      <c r="H242" s="25"/>
      <c r="I242" s="51">
        <f t="shared" si="62"/>
        <v>0</v>
      </c>
      <c r="J242" s="27"/>
      <c r="K242" s="59">
        <f t="shared" si="63"/>
        <v>0</v>
      </c>
      <c r="L242" s="63">
        <f t="shared" si="56"/>
        <v>0</v>
      </c>
      <c r="M242" s="64">
        <f t="shared" si="57"/>
        <v>0</v>
      </c>
      <c r="N242" s="63">
        <f t="shared" si="58"/>
        <v>0</v>
      </c>
      <c r="O242" s="64">
        <f t="shared" si="59"/>
        <v>0</v>
      </c>
      <c r="P242" s="18"/>
    </row>
    <row r="243" spans="1:16" ht="15.6" x14ac:dyDescent="0.3">
      <c r="A243" s="31" t="s">
        <v>71</v>
      </c>
      <c r="B243" s="10" t="s">
        <v>72</v>
      </c>
      <c r="C243" s="29"/>
      <c r="D243" s="46">
        <f t="shared" si="60"/>
        <v>0</v>
      </c>
      <c r="E243" s="24"/>
      <c r="F243" s="25"/>
      <c r="G243" s="51">
        <f t="shared" si="61"/>
        <v>0</v>
      </c>
      <c r="H243" s="25"/>
      <c r="I243" s="51">
        <f t="shared" si="62"/>
        <v>0</v>
      </c>
      <c r="J243" s="27"/>
      <c r="K243" s="59">
        <f t="shared" si="63"/>
        <v>0</v>
      </c>
      <c r="L243" s="63">
        <f t="shared" si="56"/>
        <v>0</v>
      </c>
      <c r="M243" s="64">
        <f t="shared" si="57"/>
        <v>0</v>
      </c>
      <c r="N243" s="63">
        <f t="shared" si="58"/>
        <v>0</v>
      </c>
      <c r="O243" s="64">
        <f t="shared" si="59"/>
        <v>0</v>
      </c>
      <c r="P243" s="18"/>
    </row>
    <row r="244" spans="1:16" ht="15.6" x14ac:dyDescent="0.3">
      <c r="A244" s="2" t="s">
        <v>73</v>
      </c>
      <c r="B244" s="10" t="s">
        <v>74</v>
      </c>
      <c r="C244" s="24"/>
      <c r="D244" s="46">
        <f t="shared" si="60"/>
        <v>0</v>
      </c>
      <c r="E244" s="24"/>
      <c r="F244" s="25"/>
      <c r="G244" s="51">
        <f t="shared" si="61"/>
        <v>0</v>
      </c>
      <c r="H244" s="25"/>
      <c r="I244" s="51">
        <f t="shared" si="62"/>
        <v>0</v>
      </c>
      <c r="J244" s="27"/>
      <c r="K244" s="59">
        <f t="shared" si="63"/>
        <v>0</v>
      </c>
      <c r="L244" s="63">
        <f t="shared" si="56"/>
        <v>0</v>
      </c>
      <c r="M244" s="64">
        <f t="shared" si="57"/>
        <v>0</v>
      </c>
      <c r="N244" s="63">
        <f t="shared" si="58"/>
        <v>0</v>
      </c>
      <c r="O244" s="64">
        <f t="shared" si="59"/>
        <v>0</v>
      </c>
      <c r="P244" s="18"/>
    </row>
    <row r="245" spans="1:16" ht="15.6" x14ac:dyDescent="0.3">
      <c r="A245" s="18" t="s">
        <v>75</v>
      </c>
      <c r="B245" s="10" t="s">
        <v>76</v>
      </c>
      <c r="C245" s="29"/>
      <c r="D245" s="46">
        <f t="shared" si="60"/>
        <v>0</v>
      </c>
      <c r="E245" s="24"/>
      <c r="F245" s="25"/>
      <c r="G245" s="51">
        <f t="shared" si="61"/>
        <v>0</v>
      </c>
      <c r="H245" s="25"/>
      <c r="I245" s="51">
        <f t="shared" si="62"/>
        <v>0</v>
      </c>
      <c r="J245" s="27"/>
      <c r="K245" s="59">
        <f t="shared" si="63"/>
        <v>0</v>
      </c>
      <c r="L245" s="63">
        <f t="shared" si="56"/>
        <v>0</v>
      </c>
      <c r="M245" s="64">
        <f t="shared" si="57"/>
        <v>0</v>
      </c>
      <c r="N245" s="63">
        <f t="shared" si="58"/>
        <v>0</v>
      </c>
      <c r="O245" s="64">
        <f t="shared" si="59"/>
        <v>0</v>
      </c>
      <c r="P245" s="18"/>
    </row>
    <row r="246" spans="1:16" ht="15.6" x14ac:dyDescent="0.3">
      <c r="A246" s="2" t="s">
        <v>77</v>
      </c>
      <c r="B246" s="10" t="s">
        <v>78</v>
      </c>
      <c r="C246" s="29"/>
      <c r="D246" s="46">
        <f t="shared" si="60"/>
        <v>0</v>
      </c>
      <c r="E246" s="24"/>
      <c r="F246" s="25"/>
      <c r="G246" s="51">
        <f t="shared" si="61"/>
        <v>0</v>
      </c>
      <c r="H246" s="25"/>
      <c r="I246" s="51">
        <f t="shared" si="62"/>
        <v>0</v>
      </c>
      <c r="J246" s="27"/>
      <c r="K246" s="59">
        <f t="shared" si="63"/>
        <v>0</v>
      </c>
      <c r="L246" s="63">
        <f t="shared" si="56"/>
        <v>0</v>
      </c>
      <c r="M246" s="64">
        <f t="shared" si="57"/>
        <v>0</v>
      </c>
      <c r="N246" s="63">
        <f t="shared" si="58"/>
        <v>0</v>
      </c>
      <c r="O246" s="64">
        <f t="shared" si="59"/>
        <v>0</v>
      </c>
      <c r="P246" s="18"/>
    </row>
    <row r="247" spans="1:16" ht="15.6" x14ac:dyDescent="0.3">
      <c r="A247" s="18" t="s">
        <v>79</v>
      </c>
      <c r="B247" s="10" t="s">
        <v>80</v>
      </c>
      <c r="C247" s="24"/>
      <c r="D247" s="46">
        <f t="shared" si="60"/>
        <v>0</v>
      </c>
      <c r="E247" s="24"/>
      <c r="F247" s="25"/>
      <c r="G247" s="51">
        <f t="shared" si="61"/>
        <v>0</v>
      </c>
      <c r="H247" s="25"/>
      <c r="I247" s="51">
        <f t="shared" si="62"/>
        <v>0</v>
      </c>
      <c r="J247" s="27"/>
      <c r="K247" s="59">
        <f t="shared" si="63"/>
        <v>0</v>
      </c>
      <c r="L247" s="63">
        <f t="shared" si="56"/>
        <v>0</v>
      </c>
      <c r="M247" s="64">
        <f t="shared" si="57"/>
        <v>0</v>
      </c>
      <c r="N247" s="63">
        <f t="shared" si="58"/>
        <v>0</v>
      </c>
      <c r="O247" s="64">
        <f t="shared" si="59"/>
        <v>0</v>
      </c>
      <c r="P247" s="18"/>
    </row>
    <row r="248" spans="1:16" ht="15.6" x14ac:dyDescent="0.3">
      <c r="A248" s="2" t="s">
        <v>81</v>
      </c>
      <c r="B248" s="10" t="s">
        <v>82</v>
      </c>
      <c r="C248" s="24"/>
      <c r="D248" s="46">
        <f t="shared" si="60"/>
        <v>0</v>
      </c>
      <c r="E248" s="24"/>
      <c r="F248" s="25"/>
      <c r="G248" s="51">
        <f t="shared" si="61"/>
        <v>0</v>
      </c>
      <c r="H248" s="25"/>
      <c r="I248" s="51">
        <f t="shared" si="62"/>
        <v>0</v>
      </c>
      <c r="J248" s="27"/>
      <c r="K248" s="59">
        <f t="shared" si="63"/>
        <v>0</v>
      </c>
      <c r="L248" s="63">
        <f t="shared" si="56"/>
        <v>0</v>
      </c>
      <c r="M248" s="64">
        <f t="shared" si="57"/>
        <v>0</v>
      </c>
      <c r="N248" s="63">
        <f t="shared" si="58"/>
        <v>0</v>
      </c>
      <c r="O248" s="64">
        <f t="shared" si="59"/>
        <v>0</v>
      </c>
      <c r="P248" s="18"/>
    </row>
    <row r="249" spans="1:16" ht="15.6" x14ac:dyDescent="0.3">
      <c r="A249" s="2" t="s">
        <v>83</v>
      </c>
      <c r="B249" s="10" t="s">
        <v>84</v>
      </c>
      <c r="C249" s="24"/>
      <c r="D249" s="46">
        <f t="shared" si="60"/>
        <v>0</v>
      </c>
      <c r="E249" s="24"/>
      <c r="F249" s="25"/>
      <c r="G249" s="51">
        <f t="shared" si="61"/>
        <v>0</v>
      </c>
      <c r="H249" s="25"/>
      <c r="I249" s="51">
        <f t="shared" si="62"/>
        <v>0</v>
      </c>
      <c r="J249" s="27"/>
      <c r="K249" s="59">
        <f t="shared" si="63"/>
        <v>0</v>
      </c>
      <c r="L249" s="63">
        <f t="shared" si="56"/>
        <v>0</v>
      </c>
      <c r="M249" s="64">
        <f t="shared" si="57"/>
        <v>0</v>
      </c>
      <c r="N249" s="63">
        <f t="shared" si="58"/>
        <v>0</v>
      </c>
      <c r="O249" s="64">
        <f t="shared" si="59"/>
        <v>0</v>
      </c>
      <c r="P249" s="18"/>
    </row>
    <row r="250" spans="1:16" ht="15.6" x14ac:dyDescent="0.3">
      <c r="A250" s="2" t="s">
        <v>85</v>
      </c>
      <c r="B250" s="10" t="s">
        <v>86</v>
      </c>
      <c r="C250" s="29"/>
      <c r="D250" s="46">
        <f t="shared" si="60"/>
        <v>0</v>
      </c>
      <c r="E250" s="24"/>
      <c r="F250" s="25"/>
      <c r="G250" s="51">
        <f t="shared" si="61"/>
        <v>0</v>
      </c>
      <c r="H250" s="25"/>
      <c r="I250" s="51">
        <f t="shared" si="62"/>
        <v>0</v>
      </c>
      <c r="J250" s="27"/>
      <c r="K250" s="59">
        <f t="shared" si="63"/>
        <v>0</v>
      </c>
      <c r="L250" s="63">
        <f t="shared" si="56"/>
        <v>0</v>
      </c>
      <c r="M250" s="64">
        <f t="shared" si="57"/>
        <v>0</v>
      </c>
      <c r="N250" s="63">
        <f t="shared" si="58"/>
        <v>0</v>
      </c>
      <c r="O250" s="64">
        <f t="shared" si="59"/>
        <v>0</v>
      </c>
      <c r="P250" s="18"/>
    </row>
    <row r="251" spans="1:16" ht="15.6" x14ac:dyDescent="0.3">
      <c r="A251" s="2" t="s">
        <v>87</v>
      </c>
      <c r="B251" s="10" t="s">
        <v>88</v>
      </c>
      <c r="C251" s="29"/>
      <c r="D251" s="46">
        <f t="shared" si="60"/>
        <v>0</v>
      </c>
      <c r="E251" s="24"/>
      <c r="F251" s="25"/>
      <c r="G251" s="51">
        <f t="shared" si="61"/>
        <v>0</v>
      </c>
      <c r="H251" s="25"/>
      <c r="I251" s="51">
        <f t="shared" si="62"/>
        <v>0</v>
      </c>
      <c r="J251" s="27"/>
      <c r="K251" s="59">
        <f t="shared" si="63"/>
        <v>0</v>
      </c>
      <c r="L251" s="63">
        <f t="shared" si="56"/>
        <v>0</v>
      </c>
      <c r="M251" s="64">
        <f t="shared" si="57"/>
        <v>0</v>
      </c>
      <c r="N251" s="63">
        <f t="shared" si="58"/>
        <v>0</v>
      </c>
      <c r="O251" s="64">
        <f t="shared" si="59"/>
        <v>0</v>
      </c>
      <c r="P251" s="18"/>
    </row>
    <row r="252" spans="1:16" ht="15.6" x14ac:dyDescent="0.3">
      <c r="A252" s="2" t="s">
        <v>89</v>
      </c>
      <c r="B252" s="10" t="s">
        <v>90</v>
      </c>
      <c r="C252" s="24"/>
      <c r="D252" s="46">
        <f t="shared" si="60"/>
        <v>0</v>
      </c>
      <c r="E252" s="24"/>
      <c r="F252" s="25"/>
      <c r="G252" s="51">
        <f t="shared" si="61"/>
        <v>0</v>
      </c>
      <c r="H252" s="25"/>
      <c r="I252" s="51">
        <f t="shared" si="62"/>
        <v>0</v>
      </c>
      <c r="J252" s="27"/>
      <c r="K252" s="59">
        <f t="shared" si="63"/>
        <v>0</v>
      </c>
      <c r="L252" s="63">
        <f t="shared" si="56"/>
        <v>0</v>
      </c>
      <c r="M252" s="64">
        <f t="shared" si="57"/>
        <v>0</v>
      </c>
      <c r="N252" s="63">
        <f t="shared" si="58"/>
        <v>0</v>
      </c>
      <c r="O252" s="64">
        <f t="shared" si="59"/>
        <v>0</v>
      </c>
      <c r="P252" s="18"/>
    </row>
    <row r="253" spans="1:16" ht="15.6" x14ac:dyDescent="0.3">
      <c r="A253" s="2" t="s">
        <v>91</v>
      </c>
      <c r="B253" s="10" t="s">
        <v>92</v>
      </c>
      <c r="C253" s="29"/>
      <c r="D253" s="46">
        <f t="shared" si="60"/>
        <v>0</v>
      </c>
      <c r="E253" s="24"/>
      <c r="F253" s="25"/>
      <c r="G253" s="51">
        <f t="shared" si="61"/>
        <v>0</v>
      </c>
      <c r="H253" s="25"/>
      <c r="I253" s="51">
        <f t="shared" si="62"/>
        <v>0</v>
      </c>
      <c r="J253" s="27"/>
      <c r="K253" s="59">
        <f t="shared" si="63"/>
        <v>0</v>
      </c>
      <c r="L253" s="63">
        <f t="shared" si="56"/>
        <v>0</v>
      </c>
      <c r="M253" s="64">
        <f t="shared" si="57"/>
        <v>0</v>
      </c>
      <c r="N253" s="63">
        <f t="shared" si="58"/>
        <v>0</v>
      </c>
      <c r="O253" s="64">
        <f t="shared" si="59"/>
        <v>0</v>
      </c>
      <c r="P253" s="18"/>
    </row>
    <row r="254" spans="1:16" ht="15.6" x14ac:dyDescent="0.3">
      <c r="A254" s="2" t="s">
        <v>93</v>
      </c>
      <c r="B254" s="10" t="s">
        <v>94</v>
      </c>
      <c r="C254" s="29"/>
      <c r="D254" s="46">
        <f t="shared" si="60"/>
        <v>0</v>
      </c>
      <c r="E254" s="24"/>
      <c r="F254" s="25"/>
      <c r="G254" s="51">
        <f t="shared" si="61"/>
        <v>0</v>
      </c>
      <c r="H254" s="25"/>
      <c r="I254" s="51">
        <f t="shared" si="62"/>
        <v>0</v>
      </c>
      <c r="J254" s="27"/>
      <c r="K254" s="59">
        <f t="shared" si="63"/>
        <v>0</v>
      </c>
      <c r="L254" s="63">
        <f t="shared" si="56"/>
        <v>0</v>
      </c>
      <c r="M254" s="64">
        <f t="shared" si="57"/>
        <v>0</v>
      </c>
      <c r="N254" s="63">
        <f t="shared" si="58"/>
        <v>0</v>
      </c>
      <c r="O254" s="64">
        <f t="shared" si="59"/>
        <v>0</v>
      </c>
      <c r="P254" s="18"/>
    </row>
    <row r="255" spans="1:16" ht="15.6" x14ac:dyDescent="0.3">
      <c r="A255" s="21" t="s">
        <v>95</v>
      </c>
      <c r="B255" s="22" t="s">
        <v>96</v>
      </c>
      <c r="C255" s="91">
        <f>C211-C214</f>
        <v>0</v>
      </c>
      <c r="D255" s="82"/>
      <c r="E255" s="66">
        <f>E211-E214</f>
        <v>0</v>
      </c>
      <c r="F255" s="92">
        <f>F211-F214</f>
        <v>0</v>
      </c>
      <c r="G255" s="82"/>
      <c r="H255" s="92">
        <f>H211-H214</f>
        <v>0</v>
      </c>
      <c r="I255" s="82"/>
      <c r="J255" s="89">
        <f>J211-J214</f>
        <v>0</v>
      </c>
      <c r="K255" s="82"/>
      <c r="L255" s="63">
        <f t="shared" si="56"/>
        <v>0</v>
      </c>
      <c r="M255" s="64">
        <f t="shared" si="57"/>
        <v>0</v>
      </c>
      <c r="N255" s="63">
        <f t="shared" si="58"/>
        <v>0</v>
      </c>
      <c r="O255" s="64">
        <f t="shared" si="59"/>
        <v>0</v>
      </c>
      <c r="P255" s="18"/>
    </row>
    <row r="256" spans="1:16" x14ac:dyDescent="0.3">
      <c r="A256" s="30" t="s">
        <v>97</v>
      </c>
      <c r="B256" s="11" t="s">
        <v>98</v>
      </c>
      <c r="C256" s="84">
        <f>IFERROR(C255/C211,0)</f>
        <v>0</v>
      </c>
      <c r="D256" s="77"/>
      <c r="E256" s="47">
        <f>IFERROR(E255/E211,0)</f>
        <v>0</v>
      </c>
      <c r="F256" s="76">
        <f>IFERROR(F255/F211,0)</f>
        <v>0</v>
      </c>
      <c r="G256" s="77"/>
      <c r="H256" s="76">
        <f>IFERROR(H255/H211,0)</f>
        <v>0</v>
      </c>
      <c r="I256" s="77"/>
      <c r="J256" s="80">
        <f>IFERROR(J255/J211,0)</f>
        <v>0</v>
      </c>
      <c r="K256" s="77"/>
    </row>
    <row r="257" spans="1:16" x14ac:dyDescent="0.3">
      <c r="A257" s="30" t="s">
        <v>99</v>
      </c>
      <c r="B257" s="11" t="s">
        <v>100</v>
      </c>
      <c r="C257" s="84">
        <f>IFERROR(C255/C259,0)</f>
        <v>0</v>
      </c>
      <c r="D257" s="77"/>
      <c r="E257" s="47">
        <f>IFERROR(E255/C259,0)</f>
        <v>0</v>
      </c>
      <c r="F257" s="76">
        <f t="shared" ref="F257" si="64">IFERROR(F255/F259,0)</f>
        <v>0</v>
      </c>
      <c r="G257" s="77"/>
      <c r="H257" s="76">
        <f t="shared" ref="H257" si="65">IFERROR(H255/H259,0)</f>
        <v>0</v>
      </c>
      <c r="I257" s="77"/>
      <c r="J257" s="80">
        <f t="shared" ref="J257" si="66">IFERROR(J255/J259,0)</f>
        <v>0</v>
      </c>
      <c r="K257" s="77"/>
    </row>
    <row r="258" spans="1:16" x14ac:dyDescent="0.3">
      <c r="A258" s="33" t="s">
        <v>101</v>
      </c>
      <c r="B258" s="11" t="s">
        <v>102</v>
      </c>
      <c r="C258" s="84">
        <f>IFERROR(C257*12,0)</f>
        <v>0</v>
      </c>
      <c r="D258" s="77"/>
      <c r="E258" s="47">
        <f>IFERROR(E257*12,0)</f>
        <v>0</v>
      </c>
      <c r="F258" s="76">
        <f t="shared" ref="F258" si="67">IFERROR(F257*12,0)</f>
        <v>0</v>
      </c>
      <c r="G258" s="77"/>
      <c r="H258" s="76">
        <f t="shared" ref="H258" si="68">IFERROR(H257*12,0)</f>
        <v>0</v>
      </c>
      <c r="I258" s="77"/>
      <c r="J258" s="80">
        <f t="shared" ref="J258" si="69">IFERROR(J257*12,0)</f>
        <v>0</v>
      </c>
      <c r="K258" s="77"/>
    </row>
    <row r="259" spans="1:16" x14ac:dyDescent="0.3">
      <c r="A259" s="33" t="s">
        <v>103</v>
      </c>
      <c r="B259" s="12" t="s">
        <v>104</v>
      </c>
      <c r="C259" s="78">
        <v>1163000</v>
      </c>
      <c r="D259" s="79"/>
    </row>
    <row r="261" spans="1:16" ht="14.4" customHeight="1" x14ac:dyDescent="0.3">
      <c r="A261" s="74" t="s">
        <v>0</v>
      </c>
      <c r="B261" s="85" t="s">
        <v>109</v>
      </c>
      <c r="C261" s="93" t="s">
        <v>2</v>
      </c>
      <c r="D261" s="82"/>
      <c r="E261" s="90" t="s">
        <v>3</v>
      </c>
      <c r="F261" s="81" t="s">
        <v>4</v>
      </c>
      <c r="G261" s="82"/>
      <c r="H261" s="81" t="s">
        <v>5</v>
      </c>
      <c r="I261" s="82"/>
      <c r="J261" s="83" t="s">
        <v>6</v>
      </c>
      <c r="K261" s="82"/>
      <c r="L261" s="61" t="s">
        <v>129</v>
      </c>
      <c r="M261" s="62" t="s">
        <v>130</v>
      </c>
      <c r="N261" s="61" t="s">
        <v>131</v>
      </c>
      <c r="O261" s="62" t="s">
        <v>132</v>
      </c>
      <c r="P261" s="18" t="s">
        <v>122</v>
      </c>
    </row>
    <row r="262" spans="1:16" ht="27.6" x14ac:dyDescent="0.3">
      <c r="A262" s="75"/>
      <c r="B262" s="86"/>
      <c r="C262" s="39">
        <v>46204</v>
      </c>
      <c r="D262" s="44" t="s">
        <v>7</v>
      </c>
      <c r="E262" s="75"/>
      <c r="F262" s="40">
        <v>46235</v>
      </c>
      <c r="G262" s="49" t="s">
        <v>7</v>
      </c>
      <c r="H262" s="40">
        <v>46235</v>
      </c>
      <c r="I262" s="49" t="s">
        <v>7</v>
      </c>
      <c r="J262" s="41">
        <v>46266</v>
      </c>
      <c r="K262" s="55" t="s">
        <v>7</v>
      </c>
      <c r="L262" s="116">
        <f>F262</f>
        <v>46235</v>
      </c>
      <c r="M262" s="117"/>
      <c r="N262" s="116">
        <f>F262</f>
        <v>46235</v>
      </c>
      <c r="O262" s="117"/>
      <c r="P262" s="18"/>
    </row>
    <row r="263" spans="1:16" ht="15.6" x14ac:dyDescent="0.3">
      <c r="A263" s="14" t="s">
        <v>8</v>
      </c>
      <c r="B263" s="15" t="s">
        <v>124</v>
      </c>
      <c r="C263" s="66">
        <f>C264+C265</f>
        <v>0</v>
      </c>
      <c r="D263" s="45"/>
      <c r="E263" s="66">
        <f>E264+E265</f>
        <v>0</v>
      </c>
      <c r="F263" s="67">
        <f>F264+F265</f>
        <v>0</v>
      </c>
      <c r="G263" s="50"/>
      <c r="H263" s="67">
        <f>H264+H265</f>
        <v>0</v>
      </c>
      <c r="I263" s="52"/>
      <c r="J263" s="23">
        <f>J264+J265</f>
        <v>0</v>
      </c>
      <c r="K263" s="56"/>
      <c r="L263" s="63">
        <f>H263-F263</f>
        <v>0</v>
      </c>
      <c r="M263" s="64">
        <f>IFERROR(L263/F263,0)</f>
        <v>0</v>
      </c>
      <c r="N263" s="63">
        <f>H263-C263</f>
        <v>0</v>
      </c>
      <c r="O263" s="64">
        <f>IFERROR(N263/C263,0)</f>
        <v>0</v>
      </c>
      <c r="P263" s="19"/>
    </row>
    <row r="264" spans="1:16" ht="15.6" x14ac:dyDescent="0.3">
      <c r="A264" s="2" t="s">
        <v>9</v>
      </c>
      <c r="B264" s="6" t="s">
        <v>10</v>
      </c>
      <c r="C264" s="24"/>
      <c r="D264" s="46"/>
      <c r="E264" s="24"/>
      <c r="F264" s="25"/>
      <c r="G264" s="51"/>
      <c r="H264" s="26"/>
      <c r="I264" s="51"/>
      <c r="J264" s="27"/>
      <c r="K264" s="57"/>
      <c r="L264" s="63">
        <f t="shared" ref="L264:L307" si="70">H264-F264</f>
        <v>0</v>
      </c>
      <c r="M264" s="64">
        <f t="shared" ref="M264:M307" si="71">IFERROR(L264/F264,0)</f>
        <v>0</v>
      </c>
      <c r="N264" s="63">
        <f t="shared" ref="N264:N307" si="72">H264-C264</f>
        <v>0</v>
      </c>
      <c r="O264" s="64">
        <f t="shared" ref="O264:O307" si="73">IFERROR(N264/C264,0)</f>
        <v>0</v>
      </c>
      <c r="P264" s="19"/>
    </row>
    <row r="265" spans="1:16" ht="15.6" x14ac:dyDescent="0.3">
      <c r="A265" s="2" t="s">
        <v>11</v>
      </c>
      <c r="B265" s="6" t="s">
        <v>12</v>
      </c>
      <c r="C265" s="24"/>
      <c r="D265" s="46"/>
      <c r="E265" s="24"/>
      <c r="F265" s="25"/>
      <c r="G265" s="51"/>
      <c r="H265" s="25"/>
      <c r="I265" s="51"/>
      <c r="J265" s="27"/>
      <c r="K265" s="57"/>
      <c r="L265" s="63">
        <f t="shared" si="70"/>
        <v>0</v>
      </c>
      <c r="M265" s="64">
        <f t="shared" si="71"/>
        <v>0</v>
      </c>
      <c r="N265" s="63">
        <f t="shared" si="72"/>
        <v>0</v>
      </c>
      <c r="O265" s="64">
        <f t="shared" si="73"/>
        <v>0</v>
      </c>
      <c r="P265" s="65"/>
    </row>
    <row r="266" spans="1:16" ht="15.6" x14ac:dyDescent="0.3">
      <c r="A266" s="14" t="s">
        <v>13</v>
      </c>
      <c r="B266" s="22" t="s">
        <v>14</v>
      </c>
      <c r="C266" s="66">
        <f>C270+C271+C272+C281+C282+C283+C267</f>
        <v>0</v>
      </c>
      <c r="D266" s="45"/>
      <c r="E266" s="66">
        <f>E270+E271+E272+E281+E282+E283+E267</f>
        <v>0</v>
      </c>
      <c r="F266" s="67">
        <f>F270+F271+F272+F281+F282+F283+F267</f>
        <v>0</v>
      </c>
      <c r="G266" s="52"/>
      <c r="H266" s="67">
        <f>H270+H271+H272+H281+H282+H283+H267</f>
        <v>0</v>
      </c>
      <c r="I266" s="52"/>
      <c r="J266" s="23">
        <f>J270+J271+J272+J281+J282+J283+J267</f>
        <v>0</v>
      </c>
      <c r="K266" s="58"/>
      <c r="L266" s="63">
        <f t="shared" si="70"/>
        <v>0</v>
      </c>
      <c r="M266" s="64">
        <f t="shared" si="71"/>
        <v>0</v>
      </c>
      <c r="N266" s="63">
        <f t="shared" si="72"/>
        <v>0</v>
      </c>
      <c r="O266" s="64">
        <f t="shared" si="73"/>
        <v>0</v>
      </c>
      <c r="P266" s="18"/>
    </row>
    <row r="267" spans="1:16" ht="15.6" x14ac:dyDescent="0.3">
      <c r="A267" s="17" t="s">
        <v>15</v>
      </c>
      <c r="B267" s="7" t="s">
        <v>16</v>
      </c>
      <c r="C267" s="24">
        <f>C268+C269</f>
        <v>0</v>
      </c>
      <c r="D267" s="46">
        <f>IFERROR(C267/$C$266,0)</f>
        <v>0</v>
      </c>
      <c r="E267" s="24">
        <f>E269+E268</f>
        <v>0</v>
      </c>
      <c r="F267" s="25">
        <f>F269+F268</f>
        <v>0</v>
      </c>
      <c r="G267" s="51">
        <f>IFERROR(F267/$F$266,0)</f>
        <v>0</v>
      </c>
      <c r="H267" s="25">
        <f>H268+H269</f>
        <v>0</v>
      </c>
      <c r="I267" s="51">
        <f>IFERROR(H267/$H$266,0)</f>
        <v>0</v>
      </c>
      <c r="J267" s="27">
        <f>J268+J269</f>
        <v>0</v>
      </c>
      <c r="K267" s="59">
        <f>IFERROR(J267/$J$266,0)</f>
        <v>0</v>
      </c>
      <c r="L267" s="63">
        <f t="shared" si="70"/>
        <v>0</v>
      </c>
      <c r="M267" s="64">
        <f t="shared" si="71"/>
        <v>0</v>
      </c>
      <c r="N267" s="63">
        <f t="shared" si="72"/>
        <v>0</v>
      </c>
      <c r="O267" s="64">
        <f t="shared" si="73"/>
        <v>0</v>
      </c>
      <c r="P267" s="18"/>
    </row>
    <row r="268" spans="1:16" ht="15.6" x14ac:dyDescent="0.3">
      <c r="A268" s="2" t="s">
        <v>17</v>
      </c>
      <c r="B268" s="8" t="s">
        <v>18</v>
      </c>
      <c r="C268" s="24"/>
      <c r="D268" s="46">
        <f t="shared" ref="D268:D306" si="74">IFERROR(C268/$C$266,0)</f>
        <v>0</v>
      </c>
      <c r="E268" s="24"/>
      <c r="F268" s="25"/>
      <c r="G268" s="51">
        <f t="shared" ref="G268:G306" si="75">IFERROR(F268/$F$266,0)</f>
        <v>0</v>
      </c>
      <c r="H268" s="25"/>
      <c r="I268" s="51">
        <f t="shared" ref="I268:I306" si="76">IFERROR(H268/$H$266,0)</f>
        <v>0</v>
      </c>
      <c r="J268" s="27"/>
      <c r="K268" s="59">
        <f t="shared" ref="K268:K306" si="77">IFERROR(J268/$J$266,0)</f>
        <v>0</v>
      </c>
      <c r="L268" s="63">
        <f t="shared" si="70"/>
        <v>0</v>
      </c>
      <c r="M268" s="64">
        <f t="shared" si="71"/>
        <v>0</v>
      </c>
      <c r="N268" s="63">
        <f t="shared" si="72"/>
        <v>0</v>
      </c>
      <c r="O268" s="64">
        <f t="shared" si="73"/>
        <v>0</v>
      </c>
      <c r="P268" s="18"/>
    </row>
    <row r="269" spans="1:16" ht="15.6" x14ac:dyDescent="0.3">
      <c r="A269" s="18" t="s">
        <v>19</v>
      </c>
      <c r="B269" s="8" t="s">
        <v>20</v>
      </c>
      <c r="C269" s="24"/>
      <c r="D269" s="46">
        <f t="shared" si="74"/>
        <v>0</v>
      </c>
      <c r="E269" s="24"/>
      <c r="F269" s="25"/>
      <c r="G269" s="51">
        <f t="shared" si="75"/>
        <v>0</v>
      </c>
      <c r="H269" s="25"/>
      <c r="I269" s="51">
        <f t="shared" si="76"/>
        <v>0</v>
      </c>
      <c r="J269" s="27"/>
      <c r="K269" s="59">
        <f t="shared" si="77"/>
        <v>0</v>
      </c>
      <c r="L269" s="63">
        <f t="shared" si="70"/>
        <v>0</v>
      </c>
      <c r="M269" s="64">
        <f t="shared" si="71"/>
        <v>0</v>
      </c>
      <c r="N269" s="63">
        <f t="shared" si="72"/>
        <v>0</v>
      </c>
      <c r="O269" s="64">
        <f t="shared" si="73"/>
        <v>0</v>
      </c>
      <c r="P269" s="18"/>
    </row>
    <row r="270" spans="1:16" ht="15.6" x14ac:dyDescent="0.3">
      <c r="A270" s="2" t="s">
        <v>21</v>
      </c>
      <c r="B270" s="7" t="s">
        <v>22</v>
      </c>
      <c r="C270" s="24"/>
      <c r="D270" s="46">
        <f t="shared" si="74"/>
        <v>0</v>
      </c>
      <c r="E270" s="24"/>
      <c r="F270" s="25"/>
      <c r="G270" s="51">
        <f t="shared" si="75"/>
        <v>0</v>
      </c>
      <c r="H270" s="25"/>
      <c r="I270" s="51">
        <f t="shared" si="76"/>
        <v>0</v>
      </c>
      <c r="J270" s="27"/>
      <c r="K270" s="59">
        <f t="shared" si="77"/>
        <v>0</v>
      </c>
      <c r="L270" s="63">
        <f t="shared" si="70"/>
        <v>0</v>
      </c>
      <c r="M270" s="64">
        <f t="shared" si="71"/>
        <v>0</v>
      </c>
      <c r="N270" s="63">
        <f t="shared" si="72"/>
        <v>0</v>
      </c>
      <c r="O270" s="64">
        <f t="shared" si="73"/>
        <v>0</v>
      </c>
      <c r="P270" s="18"/>
    </row>
    <row r="271" spans="1:16" ht="15.6" x14ac:dyDescent="0.3">
      <c r="A271" s="2" t="s">
        <v>23</v>
      </c>
      <c r="B271" s="7" t="s">
        <v>24</v>
      </c>
      <c r="C271" s="24"/>
      <c r="D271" s="46">
        <f t="shared" si="74"/>
        <v>0</v>
      </c>
      <c r="E271" s="24"/>
      <c r="F271" s="25"/>
      <c r="G271" s="51">
        <f t="shared" si="75"/>
        <v>0</v>
      </c>
      <c r="H271" s="25"/>
      <c r="I271" s="51">
        <f t="shared" si="76"/>
        <v>0</v>
      </c>
      <c r="J271" s="27"/>
      <c r="K271" s="59">
        <f t="shared" si="77"/>
        <v>0</v>
      </c>
      <c r="L271" s="63">
        <f t="shared" si="70"/>
        <v>0</v>
      </c>
      <c r="M271" s="64">
        <f t="shared" si="71"/>
        <v>0</v>
      </c>
      <c r="N271" s="63">
        <f t="shared" si="72"/>
        <v>0</v>
      </c>
      <c r="O271" s="64">
        <f t="shared" si="73"/>
        <v>0</v>
      </c>
      <c r="P271" s="18"/>
    </row>
    <row r="272" spans="1:16" ht="15.6" x14ac:dyDescent="0.3">
      <c r="A272" s="2" t="s">
        <v>25</v>
      </c>
      <c r="B272" s="7" t="s">
        <v>26</v>
      </c>
      <c r="C272" s="24">
        <f>SUM(C273:C280)</f>
        <v>0</v>
      </c>
      <c r="D272" s="46">
        <f t="shared" si="74"/>
        <v>0</v>
      </c>
      <c r="E272" s="24">
        <f>SUM(E273:E280)</f>
        <v>0</v>
      </c>
      <c r="F272" s="25">
        <f>SUM(F273:F280)</f>
        <v>0</v>
      </c>
      <c r="G272" s="51">
        <f t="shared" si="75"/>
        <v>0</v>
      </c>
      <c r="H272" s="25">
        <f>SUM(H273:H280)</f>
        <v>0</v>
      </c>
      <c r="I272" s="51">
        <f t="shared" si="76"/>
        <v>0</v>
      </c>
      <c r="J272" s="27">
        <f>SUM(J273:J280)</f>
        <v>0</v>
      </c>
      <c r="K272" s="59">
        <f t="shared" si="77"/>
        <v>0</v>
      </c>
      <c r="L272" s="63">
        <f t="shared" si="70"/>
        <v>0</v>
      </c>
      <c r="M272" s="64">
        <f t="shared" si="71"/>
        <v>0</v>
      </c>
      <c r="N272" s="63">
        <f t="shared" si="72"/>
        <v>0</v>
      </c>
      <c r="O272" s="64">
        <f t="shared" si="73"/>
        <v>0</v>
      </c>
      <c r="P272" s="18"/>
    </row>
    <row r="273" spans="1:16" ht="15.6" x14ac:dyDescent="0.3">
      <c r="A273" s="2" t="s">
        <v>27</v>
      </c>
      <c r="B273" s="9" t="s">
        <v>28</v>
      </c>
      <c r="C273" s="24"/>
      <c r="D273" s="46">
        <f t="shared" si="74"/>
        <v>0</v>
      </c>
      <c r="E273" s="24"/>
      <c r="F273" s="25"/>
      <c r="G273" s="51">
        <f t="shared" si="75"/>
        <v>0</v>
      </c>
      <c r="H273" s="25"/>
      <c r="I273" s="51">
        <f t="shared" si="76"/>
        <v>0</v>
      </c>
      <c r="J273" s="27"/>
      <c r="K273" s="59">
        <f t="shared" si="77"/>
        <v>0</v>
      </c>
      <c r="L273" s="63">
        <f t="shared" si="70"/>
        <v>0</v>
      </c>
      <c r="M273" s="64">
        <f t="shared" si="71"/>
        <v>0</v>
      </c>
      <c r="N273" s="63">
        <f t="shared" si="72"/>
        <v>0</v>
      </c>
      <c r="O273" s="64">
        <f t="shared" si="73"/>
        <v>0</v>
      </c>
      <c r="P273" s="18"/>
    </row>
    <row r="274" spans="1:16" ht="15.6" x14ac:dyDescent="0.3">
      <c r="A274" s="2" t="s">
        <v>29</v>
      </c>
      <c r="B274" s="9" t="s">
        <v>30</v>
      </c>
      <c r="C274" s="24"/>
      <c r="D274" s="46">
        <f t="shared" si="74"/>
        <v>0</v>
      </c>
      <c r="E274" s="24"/>
      <c r="F274" s="25"/>
      <c r="G274" s="51">
        <f t="shared" si="75"/>
        <v>0</v>
      </c>
      <c r="H274" s="25"/>
      <c r="I274" s="51">
        <f t="shared" si="76"/>
        <v>0</v>
      </c>
      <c r="J274" s="27"/>
      <c r="K274" s="59">
        <f t="shared" si="77"/>
        <v>0</v>
      </c>
      <c r="L274" s="63">
        <f t="shared" si="70"/>
        <v>0</v>
      </c>
      <c r="M274" s="64">
        <f t="shared" si="71"/>
        <v>0</v>
      </c>
      <c r="N274" s="63">
        <f t="shared" si="72"/>
        <v>0</v>
      </c>
      <c r="O274" s="64">
        <f t="shared" si="73"/>
        <v>0</v>
      </c>
      <c r="P274" s="18"/>
    </row>
    <row r="275" spans="1:16" ht="15.6" x14ac:dyDescent="0.3">
      <c r="A275" s="2" t="s">
        <v>31</v>
      </c>
      <c r="B275" s="9" t="s">
        <v>32</v>
      </c>
      <c r="C275" s="24"/>
      <c r="D275" s="46">
        <f t="shared" si="74"/>
        <v>0</v>
      </c>
      <c r="E275" s="24"/>
      <c r="F275" s="25"/>
      <c r="G275" s="51">
        <f t="shared" si="75"/>
        <v>0</v>
      </c>
      <c r="H275" s="25"/>
      <c r="I275" s="51">
        <f t="shared" si="76"/>
        <v>0</v>
      </c>
      <c r="J275" s="27"/>
      <c r="K275" s="59">
        <f t="shared" si="77"/>
        <v>0</v>
      </c>
      <c r="L275" s="63">
        <f t="shared" si="70"/>
        <v>0</v>
      </c>
      <c r="M275" s="64">
        <f t="shared" si="71"/>
        <v>0</v>
      </c>
      <c r="N275" s="63">
        <f t="shared" si="72"/>
        <v>0</v>
      </c>
      <c r="O275" s="64">
        <f t="shared" si="73"/>
        <v>0</v>
      </c>
      <c r="P275" s="18"/>
    </row>
    <row r="276" spans="1:16" ht="15.6" x14ac:dyDescent="0.3">
      <c r="A276" s="2" t="s">
        <v>33</v>
      </c>
      <c r="B276" s="9" t="s">
        <v>34</v>
      </c>
      <c r="C276" s="24"/>
      <c r="D276" s="46">
        <f t="shared" si="74"/>
        <v>0</v>
      </c>
      <c r="E276" s="24"/>
      <c r="F276" s="25"/>
      <c r="G276" s="51">
        <f t="shared" si="75"/>
        <v>0</v>
      </c>
      <c r="H276" s="25"/>
      <c r="I276" s="51">
        <f t="shared" si="76"/>
        <v>0</v>
      </c>
      <c r="J276" s="27"/>
      <c r="K276" s="59">
        <f t="shared" si="77"/>
        <v>0</v>
      </c>
      <c r="L276" s="63">
        <f t="shared" si="70"/>
        <v>0</v>
      </c>
      <c r="M276" s="64">
        <f t="shared" si="71"/>
        <v>0</v>
      </c>
      <c r="N276" s="63">
        <f t="shared" si="72"/>
        <v>0</v>
      </c>
      <c r="O276" s="64">
        <f t="shared" si="73"/>
        <v>0</v>
      </c>
      <c r="P276" s="18"/>
    </row>
    <row r="277" spans="1:16" ht="15.6" x14ac:dyDescent="0.3">
      <c r="A277" s="2" t="s">
        <v>35</v>
      </c>
      <c r="B277" s="9" t="s">
        <v>36</v>
      </c>
      <c r="C277" s="24"/>
      <c r="D277" s="46">
        <f t="shared" si="74"/>
        <v>0</v>
      </c>
      <c r="E277" s="24"/>
      <c r="F277" s="25"/>
      <c r="G277" s="51">
        <f t="shared" si="75"/>
        <v>0</v>
      </c>
      <c r="H277" s="25"/>
      <c r="I277" s="51">
        <f t="shared" si="76"/>
        <v>0</v>
      </c>
      <c r="J277" s="27"/>
      <c r="K277" s="59">
        <f t="shared" si="77"/>
        <v>0</v>
      </c>
      <c r="L277" s="63">
        <f t="shared" si="70"/>
        <v>0</v>
      </c>
      <c r="M277" s="64">
        <f t="shared" si="71"/>
        <v>0</v>
      </c>
      <c r="N277" s="63">
        <f t="shared" si="72"/>
        <v>0</v>
      </c>
      <c r="O277" s="64">
        <f t="shared" si="73"/>
        <v>0</v>
      </c>
      <c r="P277" s="18"/>
    </row>
    <row r="278" spans="1:16" ht="27.6" x14ac:dyDescent="0.3">
      <c r="A278" s="2" t="s">
        <v>37</v>
      </c>
      <c r="B278" s="9" t="s">
        <v>38</v>
      </c>
      <c r="C278" s="24"/>
      <c r="D278" s="46">
        <f t="shared" si="74"/>
        <v>0</v>
      </c>
      <c r="E278" s="24"/>
      <c r="F278" s="25"/>
      <c r="G278" s="51">
        <f t="shared" si="75"/>
        <v>0</v>
      </c>
      <c r="H278" s="25"/>
      <c r="I278" s="51">
        <f t="shared" si="76"/>
        <v>0</v>
      </c>
      <c r="J278" s="27"/>
      <c r="K278" s="59">
        <f t="shared" si="77"/>
        <v>0</v>
      </c>
      <c r="L278" s="63">
        <f t="shared" si="70"/>
        <v>0</v>
      </c>
      <c r="M278" s="64">
        <f t="shared" si="71"/>
        <v>0</v>
      </c>
      <c r="N278" s="63">
        <f t="shared" si="72"/>
        <v>0</v>
      </c>
      <c r="O278" s="64">
        <f t="shared" si="73"/>
        <v>0</v>
      </c>
      <c r="P278" s="18"/>
    </row>
    <row r="279" spans="1:16" ht="15.6" x14ac:dyDescent="0.3">
      <c r="A279" s="2" t="s">
        <v>39</v>
      </c>
      <c r="B279" s="9" t="s">
        <v>40</v>
      </c>
      <c r="C279" s="24"/>
      <c r="D279" s="46">
        <f t="shared" si="74"/>
        <v>0</v>
      </c>
      <c r="E279" s="24"/>
      <c r="F279" s="25"/>
      <c r="G279" s="51">
        <f t="shared" si="75"/>
        <v>0</v>
      </c>
      <c r="H279" s="25"/>
      <c r="I279" s="51">
        <f t="shared" si="76"/>
        <v>0</v>
      </c>
      <c r="J279" s="27"/>
      <c r="K279" s="59">
        <f t="shared" si="77"/>
        <v>0</v>
      </c>
      <c r="L279" s="63">
        <f t="shared" si="70"/>
        <v>0</v>
      </c>
      <c r="M279" s="64">
        <f t="shared" si="71"/>
        <v>0</v>
      </c>
      <c r="N279" s="63">
        <f t="shared" si="72"/>
        <v>0</v>
      </c>
      <c r="O279" s="64">
        <f t="shared" si="73"/>
        <v>0</v>
      </c>
      <c r="P279" s="18"/>
    </row>
    <row r="280" spans="1:16" ht="15.6" x14ac:dyDescent="0.3">
      <c r="A280" s="2" t="s">
        <v>41</v>
      </c>
      <c r="B280" s="9" t="s">
        <v>42</v>
      </c>
      <c r="C280" s="24"/>
      <c r="D280" s="46">
        <f t="shared" si="74"/>
        <v>0</v>
      </c>
      <c r="E280" s="24"/>
      <c r="F280" s="25"/>
      <c r="G280" s="51">
        <f t="shared" si="75"/>
        <v>0</v>
      </c>
      <c r="H280" s="25"/>
      <c r="I280" s="51">
        <f t="shared" si="76"/>
        <v>0</v>
      </c>
      <c r="J280" s="27"/>
      <c r="K280" s="59">
        <f t="shared" si="77"/>
        <v>0</v>
      </c>
      <c r="L280" s="63">
        <f t="shared" si="70"/>
        <v>0</v>
      </c>
      <c r="M280" s="64">
        <f t="shared" si="71"/>
        <v>0</v>
      </c>
      <c r="N280" s="63">
        <f t="shared" si="72"/>
        <v>0</v>
      </c>
      <c r="O280" s="64">
        <f t="shared" si="73"/>
        <v>0</v>
      </c>
      <c r="P280" s="18"/>
    </row>
    <row r="281" spans="1:16" ht="15.6" x14ac:dyDescent="0.3">
      <c r="A281" s="2" t="s">
        <v>43</v>
      </c>
      <c r="B281" s="7" t="s">
        <v>44</v>
      </c>
      <c r="C281" s="24"/>
      <c r="D281" s="46">
        <f t="shared" si="74"/>
        <v>0</v>
      </c>
      <c r="E281" s="24"/>
      <c r="F281" s="25"/>
      <c r="G281" s="51">
        <f t="shared" si="75"/>
        <v>0</v>
      </c>
      <c r="H281" s="25"/>
      <c r="I281" s="51">
        <f t="shared" si="76"/>
        <v>0</v>
      </c>
      <c r="J281" s="27"/>
      <c r="K281" s="59">
        <f t="shared" si="77"/>
        <v>0</v>
      </c>
      <c r="L281" s="63">
        <f t="shared" si="70"/>
        <v>0</v>
      </c>
      <c r="M281" s="64">
        <f t="shared" si="71"/>
        <v>0</v>
      </c>
      <c r="N281" s="63">
        <f t="shared" si="72"/>
        <v>0</v>
      </c>
      <c r="O281" s="64">
        <f t="shared" si="73"/>
        <v>0</v>
      </c>
      <c r="P281" s="18"/>
    </row>
    <row r="282" spans="1:16" ht="15.6" x14ac:dyDescent="0.3">
      <c r="A282" s="2" t="s">
        <v>45</v>
      </c>
      <c r="B282" s="7" t="s">
        <v>46</v>
      </c>
      <c r="C282" s="24"/>
      <c r="D282" s="46">
        <f t="shared" si="74"/>
        <v>0</v>
      </c>
      <c r="E282" s="24"/>
      <c r="F282" s="25"/>
      <c r="G282" s="51">
        <f t="shared" si="75"/>
        <v>0</v>
      </c>
      <c r="H282" s="25"/>
      <c r="I282" s="51">
        <f t="shared" si="76"/>
        <v>0</v>
      </c>
      <c r="J282" s="27"/>
      <c r="K282" s="59">
        <f t="shared" si="77"/>
        <v>0</v>
      </c>
      <c r="L282" s="63">
        <f t="shared" si="70"/>
        <v>0</v>
      </c>
      <c r="M282" s="64">
        <f t="shared" si="71"/>
        <v>0</v>
      </c>
      <c r="N282" s="63">
        <f t="shared" si="72"/>
        <v>0</v>
      </c>
      <c r="O282" s="64">
        <f t="shared" si="73"/>
        <v>0</v>
      </c>
      <c r="P282" s="18"/>
    </row>
    <row r="283" spans="1:16" s="16" customFormat="1" ht="15.6" x14ac:dyDescent="0.3">
      <c r="A283" s="14" t="s">
        <v>47</v>
      </c>
      <c r="B283" s="22" t="s">
        <v>48</v>
      </c>
      <c r="C283" s="66">
        <f>SUM(C284:C306)</f>
        <v>0</v>
      </c>
      <c r="D283" s="46">
        <f t="shared" si="74"/>
        <v>0</v>
      </c>
      <c r="E283" s="66">
        <f>SUM(E284:E306)</f>
        <v>0</v>
      </c>
      <c r="F283" s="67">
        <f>SUM(F284:F306)</f>
        <v>0</v>
      </c>
      <c r="G283" s="51">
        <f t="shared" si="75"/>
        <v>0</v>
      </c>
      <c r="H283" s="67">
        <f>SUM(H284:H306)</f>
        <v>0</v>
      </c>
      <c r="I283" s="51">
        <f t="shared" si="76"/>
        <v>0</v>
      </c>
      <c r="J283" s="23">
        <f>SUM(J284:J306)</f>
        <v>0</v>
      </c>
      <c r="K283" s="59">
        <f t="shared" si="77"/>
        <v>0</v>
      </c>
      <c r="L283" s="63">
        <f t="shared" si="70"/>
        <v>0</v>
      </c>
      <c r="M283" s="64">
        <f t="shared" si="71"/>
        <v>0</v>
      </c>
      <c r="N283" s="63">
        <f t="shared" si="72"/>
        <v>0</v>
      </c>
      <c r="O283" s="64">
        <f t="shared" si="73"/>
        <v>0</v>
      </c>
      <c r="P283" s="18"/>
    </row>
    <row r="284" spans="1:16" ht="15.6" x14ac:dyDescent="0.3">
      <c r="A284" s="2" t="s">
        <v>49</v>
      </c>
      <c r="B284" s="10" t="s">
        <v>50</v>
      </c>
      <c r="C284" s="29"/>
      <c r="D284" s="46">
        <f t="shared" si="74"/>
        <v>0</v>
      </c>
      <c r="E284" s="24"/>
      <c r="F284" s="25"/>
      <c r="G284" s="51">
        <f t="shared" si="75"/>
        <v>0</v>
      </c>
      <c r="H284" s="25"/>
      <c r="I284" s="51">
        <f t="shared" si="76"/>
        <v>0</v>
      </c>
      <c r="J284" s="27"/>
      <c r="K284" s="59">
        <f t="shared" si="77"/>
        <v>0</v>
      </c>
      <c r="L284" s="63">
        <f t="shared" si="70"/>
        <v>0</v>
      </c>
      <c r="M284" s="64">
        <f t="shared" si="71"/>
        <v>0</v>
      </c>
      <c r="N284" s="63">
        <f t="shared" si="72"/>
        <v>0</v>
      </c>
      <c r="O284" s="64">
        <f t="shared" si="73"/>
        <v>0</v>
      </c>
      <c r="P284" s="18"/>
    </row>
    <row r="285" spans="1:16" ht="15.6" x14ac:dyDescent="0.3">
      <c r="A285" s="2" t="s">
        <v>51</v>
      </c>
      <c r="B285" s="10" t="s">
        <v>52</v>
      </c>
      <c r="C285" s="24"/>
      <c r="D285" s="46">
        <f t="shared" si="74"/>
        <v>0</v>
      </c>
      <c r="E285" s="24"/>
      <c r="F285" s="25"/>
      <c r="G285" s="51">
        <f t="shared" si="75"/>
        <v>0</v>
      </c>
      <c r="H285" s="25"/>
      <c r="I285" s="51">
        <f t="shared" si="76"/>
        <v>0</v>
      </c>
      <c r="J285" s="27"/>
      <c r="K285" s="59">
        <f t="shared" si="77"/>
        <v>0</v>
      </c>
      <c r="L285" s="63">
        <f t="shared" si="70"/>
        <v>0</v>
      </c>
      <c r="M285" s="64">
        <f t="shared" si="71"/>
        <v>0</v>
      </c>
      <c r="N285" s="63">
        <f t="shared" si="72"/>
        <v>0</v>
      </c>
      <c r="O285" s="64">
        <f t="shared" si="73"/>
        <v>0</v>
      </c>
      <c r="P285" s="18"/>
    </row>
    <row r="286" spans="1:16" ht="15.6" x14ac:dyDescent="0.3">
      <c r="A286" s="2" t="s">
        <v>53</v>
      </c>
      <c r="B286" s="10" t="s">
        <v>54</v>
      </c>
      <c r="C286" s="24"/>
      <c r="D286" s="46">
        <f t="shared" si="74"/>
        <v>0</v>
      </c>
      <c r="E286" s="24"/>
      <c r="F286" s="25"/>
      <c r="G286" s="51">
        <f t="shared" si="75"/>
        <v>0</v>
      </c>
      <c r="H286" s="25"/>
      <c r="I286" s="51">
        <f t="shared" si="76"/>
        <v>0</v>
      </c>
      <c r="J286" s="27"/>
      <c r="K286" s="59">
        <f t="shared" si="77"/>
        <v>0</v>
      </c>
      <c r="L286" s="63">
        <f t="shared" si="70"/>
        <v>0</v>
      </c>
      <c r="M286" s="64">
        <f t="shared" si="71"/>
        <v>0</v>
      </c>
      <c r="N286" s="63">
        <f t="shared" si="72"/>
        <v>0</v>
      </c>
      <c r="O286" s="64">
        <f t="shared" si="73"/>
        <v>0</v>
      </c>
      <c r="P286" s="18"/>
    </row>
    <row r="287" spans="1:16" ht="15.6" x14ac:dyDescent="0.3">
      <c r="A287" s="2" t="s">
        <v>55</v>
      </c>
      <c r="B287" s="10" t="s">
        <v>56</v>
      </c>
      <c r="C287" s="24"/>
      <c r="D287" s="46">
        <f t="shared" si="74"/>
        <v>0</v>
      </c>
      <c r="E287" s="24"/>
      <c r="F287" s="25"/>
      <c r="G287" s="51">
        <f t="shared" si="75"/>
        <v>0</v>
      </c>
      <c r="H287" s="25"/>
      <c r="I287" s="51">
        <f t="shared" si="76"/>
        <v>0</v>
      </c>
      <c r="J287" s="27"/>
      <c r="K287" s="59">
        <f t="shared" si="77"/>
        <v>0</v>
      </c>
      <c r="L287" s="63">
        <f t="shared" si="70"/>
        <v>0</v>
      </c>
      <c r="M287" s="64">
        <f t="shared" si="71"/>
        <v>0</v>
      </c>
      <c r="N287" s="63">
        <f t="shared" si="72"/>
        <v>0</v>
      </c>
      <c r="O287" s="64">
        <f t="shared" si="73"/>
        <v>0</v>
      </c>
      <c r="P287" s="18"/>
    </row>
    <row r="288" spans="1:16" ht="15.6" x14ac:dyDescent="0.3">
      <c r="A288" s="2" t="s">
        <v>57</v>
      </c>
      <c r="B288" s="10" t="s">
        <v>58</v>
      </c>
      <c r="C288" s="29"/>
      <c r="D288" s="46">
        <f t="shared" si="74"/>
        <v>0</v>
      </c>
      <c r="E288" s="24"/>
      <c r="F288" s="25"/>
      <c r="G288" s="51">
        <f t="shared" si="75"/>
        <v>0</v>
      </c>
      <c r="H288" s="25"/>
      <c r="I288" s="51">
        <f t="shared" si="76"/>
        <v>0</v>
      </c>
      <c r="J288" s="27"/>
      <c r="K288" s="59">
        <f t="shared" si="77"/>
        <v>0</v>
      </c>
      <c r="L288" s="63">
        <f t="shared" si="70"/>
        <v>0</v>
      </c>
      <c r="M288" s="64">
        <f t="shared" si="71"/>
        <v>0</v>
      </c>
      <c r="N288" s="63">
        <f t="shared" si="72"/>
        <v>0</v>
      </c>
      <c r="O288" s="64">
        <f t="shared" si="73"/>
        <v>0</v>
      </c>
      <c r="P288" s="18"/>
    </row>
    <row r="289" spans="1:16" ht="15.6" x14ac:dyDescent="0.3">
      <c r="A289" s="2" t="s">
        <v>59</v>
      </c>
      <c r="B289" s="10" t="s">
        <v>60</v>
      </c>
      <c r="C289" s="24"/>
      <c r="D289" s="46">
        <f t="shared" si="74"/>
        <v>0</v>
      </c>
      <c r="E289" s="24"/>
      <c r="F289" s="25"/>
      <c r="G289" s="51">
        <f t="shared" si="75"/>
        <v>0</v>
      </c>
      <c r="H289" s="25"/>
      <c r="I289" s="51">
        <f t="shared" si="76"/>
        <v>0</v>
      </c>
      <c r="J289" s="27"/>
      <c r="K289" s="59">
        <f t="shared" si="77"/>
        <v>0</v>
      </c>
      <c r="L289" s="63">
        <f t="shared" si="70"/>
        <v>0</v>
      </c>
      <c r="M289" s="64">
        <f t="shared" si="71"/>
        <v>0</v>
      </c>
      <c r="N289" s="63">
        <f t="shared" si="72"/>
        <v>0</v>
      </c>
      <c r="O289" s="64">
        <f t="shared" si="73"/>
        <v>0</v>
      </c>
      <c r="P289" s="18"/>
    </row>
    <row r="290" spans="1:16" ht="15.6" x14ac:dyDescent="0.3">
      <c r="A290" s="2" t="s">
        <v>61</v>
      </c>
      <c r="B290" s="10" t="s">
        <v>62</v>
      </c>
      <c r="C290" s="29"/>
      <c r="D290" s="46">
        <f t="shared" si="74"/>
        <v>0</v>
      </c>
      <c r="E290" s="24"/>
      <c r="F290" s="25"/>
      <c r="G290" s="51">
        <f t="shared" si="75"/>
        <v>0</v>
      </c>
      <c r="H290" s="25"/>
      <c r="I290" s="51">
        <f t="shared" si="76"/>
        <v>0</v>
      </c>
      <c r="J290" s="27"/>
      <c r="K290" s="59">
        <f t="shared" si="77"/>
        <v>0</v>
      </c>
      <c r="L290" s="63">
        <f t="shared" si="70"/>
        <v>0</v>
      </c>
      <c r="M290" s="64">
        <f t="shared" si="71"/>
        <v>0</v>
      </c>
      <c r="N290" s="63">
        <f t="shared" si="72"/>
        <v>0</v>
      </c>
      <c r="O290" s="64">
        <f t="shared" si="73"/>
        <v>0</v>
      </c>
      <c r="P290" s="18"/>
    </row>
    <row r="291" spans="1:16" ht="15.6" x14ac:dyDescent="0.3">
      <c r="A291" s="2" t="s">
        <v>63</v>
      </c>
      <c r="B291" s="10" t="s">
        <v>64</v>
      </c>
      <c r="C291" s="24"/>
      <c r="D291" s="46">
        <f t="shared" si="74"/>
        <v>0</v>
      </c>
      <c r="E291" s="24"/>
      <c r="F291" s="25"/>
      <c r="G291" s="51">
        <f t="shared" si="75"/>
        <v>0</v>
      </c>
      <c r="H291" s="25"/>
      <c r="I291" s="51">
        <f t="shared" si="76"/>
        <v>0</v>
      </c>
      <c r="J291" s="27"/>
      <c r="K291" s="59">
        <f t="shared" si="77"/>
        <v>0</v>
      </c>
      <c r="L291" s="63">
        <f t="shared" si="70"/>
        <v>0</v>
      </c>
      <c r="M291" s="64">
        <f t="shared" si="71"/>
        <v>0</v>
      </c>
      <c r="N291" s="63">
        <f t="shared" si="72"/>
        <v>0</v>
      </c>
      <c r="O291" s="64">
        <f t="shared" si="73"/>
        <v>0</v>
      </c>
      <c r="P291" s="18"/>
    </row>
    <row r="292" spans="1:16" ht="15.6" x14ac:dyDescent="0.3">
      <c r="A292" s="2" t="s">
        <v>65</v>
      </c>
      <c r="B292" s="10" t="s">
        <v>66</v>
      </c>
      <c r="C292" s="29"/>
      <c r="D292" s="46">
        <f t="shared" si="74"/>
        <v>0</v>
      </c>
      <c r="E292" s="24"/>
      <c r="F292" s="25"/>
      <c r="G292" s="51">
        <f t="shared" si="75"/>
        <v>0</v>
      </c>
      <c r="H292" s="25"/>
      <c r="I292" s="51">
        <f t="shared" si="76"/>
        <v>0</v>
      </c>
      <c r="J292" s="27"/>
      <c r="K292" s="59">
        <f t="shared" si="77"/>
        <v>0</v>
      </c>
      <c r="L292" s="63">
        <f t="shared" si="70"/>
        <v>0</v>
      </c>
      <c r="M292" s="64">
        <f t="shared" si="71"/>
        <v>0</v>
      </c>
      <c r="N292" s="63">
        <f t="shared" si="72"/>
        <v>0</v>
      </c>
      <c r="O292" s="64">
        <f t="shared" si="73"/>
        <v>0</v>
      </c>
      <c r="P292" s="18"/>
    </row>
    <row r="293" spans="1:16" ht="15.6" x14ac:dyDescent="0.3">
      <c r="A293" s="2" t="s">
        <v>67</v>
      </c>
      <c r="B293" s="10" t="s">
        <v>68</v>
      </c>
      <c r="C293" s="29"/>
      <c r="D293" s="46">
        <f t="shared" si="74"/>
        <v>0</v>
      </c>
      <c r="E293" s="24"/>
      <c r="F293" s="25"/>
      <c r="G293" s="51">
        <f t="shared" si="75"/>
        <v>0</v>
      </c>
      <c r="H293" s="25"/>
      <c r="I293" s="51">
        <f t="shared" si="76"/>
        <v>0</v>
      </c>
      <c r="J293" s="27"/>
      <c r="K293" s="59">
        <f t="shared" si="77"/>
        <v>0</v>
      </c>
      <c r="L293" s="63">
        <f t="shared" si="70"/>
        <v>0</v>
      </c>
      <c r="M293" s="64">
        <f t="shared" si="71"/>
        <v>0</v>
      </c>
      <c r="N293" s="63">
        <f t="shared" si="72"/>
        <v>0</v>
      </c>
      <c r="O293" s="64">
        <f t="shared" si="73"/>
        <v>0</v>
      </c>
      <c r="P293" s="18"/>
    </row>
    <row r="294" spans="1:16" ht="15.6" x14ac:dyDescent="0.3">
      <c r="A294" s="2" t="s">
        <v>69</v>
      </c>
      <c r="B294" s="10" t="s">
        <v>70</v>
      </c>
      <c r="C294" s="29"/>
      <c r="D294" s="46">
        <f t="shared" si="74"/>
        <v>0</v>
      </c>
      <c r="E294" s="24"/>
      <c r="F294" s="25"/>
      <c r="G294" s="51">
        <f t="shared" si="75"/>
        <v>0</v>
      </c>
      <c r="H294" s="25"/>
      <c r="I294" s="51">
        <f t="shared" si="76"/>
        <v>0</v>
      </c>
      <c r="J294" s="27"/>
      <c r="K294" s="59">
        <f t="shared" si="77"/>
        <v>0</v>
      </c>
      <c r="L294" s="63">
        <f t="shared" si="70"/>
        <v>0</v>
      </c>
      <c r="M294" s="64">
        <f t="shared" si="71"/>
        <v>0</v>
      </c>
      <c r="N294" s="63">
        <f t="shared" si="72"/>
        <v>0</v>
      </c>
      <c r="O294" s="64">
        <f t="shared" si="73"/>
        <v>0</v>
      </c>
      <c r="P294" s="18"/>
    </row>
    <row r="295" spans="1:16" ht="15.6" x14ac:dyDescent="0.3">
      <c r="A295" s="31" t="s">
        <v>71</v>
      </c>
      <c r="B295" s="10" t="s">
        <v>72</v>
      </c>
      <c r="C295" s="29"/>
      <c r="D295" s="46">
        <f t="shared" si="74"/>
        <v>0</v>
      </c>
      <c r="E295" s="24"/>
      <c r="F295" s="25"/>
      <c r="G295" s="51">
        <f t="shared" si="75"/>
        <v>0</v>
      </c>
      <c r="H295" s="25"/>
      <c r="I295" s="51">
        <f t="shared" si="76"/>
        <v>0</v>
      </c>
      <c r="J295" s="27"/>
      <c r="K295" s="59">
        <f t="shared" si="77"/>
        <v>0</v>
      </c>
      <c r="L295" s="63">
        <f t="shared" si="70"/>
        <v>0</v>
      </c>
      <c r="M295" s="64">
        <f t="shared" si="71"/>
        <v>0</v>
      </c>
      <c r="N295" s="63">
        <f t="shared" si="72"/>
        <v>0</v>
      </c>
      <c r="O295" s="64">
        <f t="shared" si="73"/>
        <v>0</v>
      </c>
      <c r="P295" s="18"/>
    </row>
    <row r="296" spans="1:16" ht="15.6" x14ac:dyDescent="0.3">
      <c r="A296" s="2" t="s">
        <v>73</v>
      </c>
      <c r="B296" s="10" t="s">
        <v>74</v>
      </c>
      <c r="C296" s="24"/>
      <c r="D296" s="46">
        <f t="shared" si="74"/>
        <v>0</v>
      </c>
      <c r="E296" s="24"/>
      <c r="F296" s="25"/>
      <c r="G296" s="51">
        <f t="shared" si="75"/>
        <v>0</v>
      </c>
      <c r="H296" s="25"/>
      <c r="I296" s="51">
        <f t="shared" si="76"/>
        <v>0</v>
      </c>
      <c r="J296" s="27"/>
      <c r="K296" s="59">
        <f t="shared" si="77"/>
        <v>0</v>
      </c>
      <c r="L296" s="63">
        <f t="shared" si="70"/>
        <v>0</v>
      </c>
      <c r="M296" s="64">
        <f t="shared" si="71"/>
        <v>0</v>
      </c>
      <c r="N296" s="63">
        <f t="shared" si="72"/>
        <v>0</v>
      </c>
      <c r="O296" s="64">
        <f t="shared" si="73"/>
        <v>0</v>
      </c>
      <c r="P296" s="18"/>
    </row>
    <row r="297" spans="1:16" ht="15.6" x14ac:dyDescent="0.3">
      <c r="A297" s="18" t="s">
        <v>75</v>
      </c>
      <c r="B297" s="10" t="s">
        <v>76</v>
      </c>
      <c r="C297" s="29"/>
      <c r="D297" s="46">
        <f t="shared" si="74"/>
        <v>0</v>
      </c>
      <c r="E297" s="24"/>
      <c r="F297" s="25"/>
      <c r="G297" s="51">
        <f t="shared" si="75"/>
        <v>0</v>
      </c>
      <c r="H297" s="25"/>
      <c r="I297" s="51">
        <f t="shared" si="76"/>
        <v>0</v>
      </c>
      <c r="J297" s="27"/>
      <c r="K297" s="59">
        <f t="shared" si="77"/>
        <v>0</v>
      </c>
      <c r="L297" s="63">
        <f t="shared" si="70"/>
        <v>0</v>
      </c>
      <c r="M297" s="64">
        <f t="shared" si="71"/>
        <v>0</v>
      </c>
      <c r="N297" s="63">
        <f t="shared" si="72"/>
        <v>0</v>
      </c>
      <c r="O297" s="64">
        <f t="shared" si="73"/>
        <v>0</v>
      </c>
      <c r="P297" s="18"/>
    </row>
    <row r="298" spans="1:16" ht="15.6" x14ac:dyDescent="0.3">
      <c r="A298" s="2" t="s">
        <v>77</v>
      </c>
      <c r="B298" s="10" t="s">
        <v>78</v>
      </c>
      <c r="C298" s="29"/>
      <c r="D298" s="46">
        <f t="shared" si="74"/>
        <v>0</v>
      </c>
      <c r="E298" s="24"/>
      <c r="F298" s="25"/>
      <c r="G298" s="51">
        <f t="shared" si="75"/>
        <v>0</v>
      </c>
      <c r="H298" s="25"/>
      <c r="I298" s="51">
        <f t="shared" si="76"/>
        <v>0</v>
      </c>
      <c r="J298" s="27"/>
      <c r="K298" s="59">
        <f t="shared" si="77"/>
        <v>0</v>
      </c>
      <c r="L298" s="63">
        <f t="shared" si="70"/>
        <v>0</v>
      </c>
      <c r="M298" s="64">
        <f t="shared" si="71"/>
        <v>0</v>
      </c>
      <c r="N298" s="63">
        <f t="shared" si="72"/>
        <v>0</v>
      </c>
      <c r="O298" s="64">
        <f t="shared" si="73"/>
        <v>0</v>
      </c>
      <c r="P298" s="18"/>
    </row>
    <row r="299" spans="1:16" ht="15.6" x14ac:dyDescent="0.3">
      <c r="A299" s="18" t="s">
        <v>79</v>
      </c>
      <c r="B299" s="10" t="s">
        <v>80</v>
      </c>
      <c r="C299" s="24"/>
      <c r="D299" s="46">
        <f t="shared" si="74"/>
        <v>0</v>
      </c>
      <c r="E299" s="24"/>
      <c r="F299" s="25"/>
      <c r="G299" s="51">
        <f t="shared" si="75"/>
        <v>0</v>
      </c>
      <c r="H299" s="25"/>
      <c r="I299" s="51">
        <f t="shared" si="76"/>
        <v>0</v>
      </c>
      <c r="J299" s="27"/>
      <c r="K299" s="59">
        <f t="shared" si="77"/>
        <v>0</v>
      </c>
      <c r="L299" s="63">
        <f t="shared" si="70"/>
        <v>0</v>
      </c>
      <c r="M299" s="64">
        <f t="shared" si="71"/>
        <v>0</v>
      </c>
      <c r="N299" s="63">
        <f t="shared" si="72"/>
        <v>0</v>
      </c>
      <c r="O299" s="64">
        <f t="shared" si="73"/>
        <v>0</v>
      </c>
      <c r="P299" s="18"/>
    </row>
    <row r="300" spans="1:16" ht="15.6" x14ac:dyDescent="0.3">
      <c r="A300" s="2" t="s">
        <v>81</v>
      </c>
      <c r="B300" s="10" t="s">
        <v>82</v>
      </c>
      <c r="C300" s="24"/>
      <c r="D300" s="46">
        <f t="shared" si="74"/>
        <v>0</v>
      </c>
      <c r="E300" s="24"/>
      <c r="F300" s="25"/>
      <c r="G300" s="51">
        <f t="shared" si="75"/>
        <v>0</v>
      </c>
      <c r="H300" s="25"/>
      <c r="I300" s="51">
        <f t="shared" si="76"/>
        <v>0</v>
      </c>
      <c r="J300" s="27"/>
      <c r="K300" s="59">
        <f t="shared" si="77"/>
        <v>0</v>
      </c>
      <c r="L300" s="63">
        <f t="shared" si="70"/>
        <v>0</v>
      </c>
      <c r="M300" s="64">
        <f t="shared" si="71"/>
        <v>0</v>
      </c>
      <c r="N300" s="63">
        <f t="shared" si="72"/>
        <v>0</v>
      </c>
      <c r="O300" s="64">
        <f t="shared" si="73"/>
        <v>0</v>
      </c>
      <c r="P300" s="18"/>
    </row>
    <row r="301" spans="1:16" ht="15.6" x14ac:dyDescent="0.3">
      <c r="A301" s="2" t="s">
        <v>83</v>
      </c>
      <c r="B301" s="10" t="s">
        <v>84</v>
      </c>
      <c r="C301" s="24"/>
      <c r="D301" s="46">
        <f t="shared" si="74"/>
        <v>0</v>
      </c>
      <c r="E301" s="24"/>
      <c r="F301" s="25"/>
      <c r="G301" s="51">
        <f t="shared" si="75"/>
        <v>0</v>
      </c>
      <c r="H301" s="25"/>
      <c r="I301" s="51">
        <f t="shared" si="76"/>
        <v>0</v>
      </c>
      <c r="J301" s="27"/>
      <c r="K301" s="59">
        <f t="shared" si="77"/>
        <v>0</v>
      </c>
      <c r="L301" s="63">
        <f t="shared" si="70"/>
        <v>0</v>
      </c>
      <c r="M301" s="64">
        <f t="shared" si="71"/>
        <v>0</v>
      </c>
      <c r="N301" s="63">
        <f t="shared" si="72"/>
        <v>0</v>
      </c>
      <c r="O301" s="64">
        <f t="shared" si="73"/>
        <v>0</v>
      </c>
      <c r="P301" s="18"/>
    </row>
    <row r="302" spans="1:16" ht="15.6" x14ac:dyDescent="0.3">
      <c r="A302" s="2" t="s">
        <v>85</v>
      </c>
      <c r="B302" s="10" t="s">
        <v>86</v>
      </c>
      <c r="C302" s="29"/>
      <c r="D302" s="46">
        <f t="shared" si="74"/>
        <v>0</v>
      </c>
      <c r="E302" s="24"/>
      <c r="F302" s="25"/>
      <c r="G302" s="51">
        <f t="shared" si="75"/>
        <v>0</v>
      </c>
      <c r="H302" s="25"/>
      <c r="I302" s="51">
        <f t="shared" si="76"/>
        <v>0</v>
      </c>
      <c r="J302" s="27"/>
      <c r="K302" s="59">
        <f t="shared" si="77"/>
        <v>0</v>
      </c>
      <c r="L302" s="63">
        <f t="shared" si="70"/>
        <v>0</v>
      </c>
      <c r="M302" s="64">
        <f t="shared" si="71"/>
        <v>0</v>
      </c>
      <c r="N302" s="63">
        <f t="shared" si="72"/>
        <v>0</v>
      </c>
      <c r="O302" s="64">
        <f t="shared" si="73"/>
        <v>0</v>
      </c>
      <c r="P302" s="18"/>
    </row>
    <row r="303" spans="1:16" ht="15.6" x14ac:dyDescent="0.3">
      <c r="A303" s="2" t="s">
        <v>87</v>
      </c>
      <c r="B303" s="10" t="s">
        <v>88</v>
      </c>
      <c r="C303" s="29"/>
      <c r="D303" s="46">
        <f t="shared" si="74"/>
        <v>0</v>
      </c>
      <c r="E303" s="24"/>
      <c r="F303" s="25"/>
      <c r="G303" s="51">
        <f t="shared" si="75"/>
        <v>0</v>
      </c>
      <c r="H303" s="25"/>
      <c r="I303" s="51">
        <f t="shared" si="76"/>
        <v>0</v>
      </c>
      <c r="J303" s="27"/>
      <c r="K303" s="59">
        <f t="shared" si="77"/>
        <v>0</v>
      </c>
      <c r="L303" s="63">
        <f t="shared" si="70"/>
        <v>0</v>
      </c>
      <c r="M303" s="64">
        <f t="shared" si="71"/>
        <v>0</v>
      </c>
      <c r="N303" s="63">
        <f t="shared" si="72"/>
        <v>0</v>
      </c>
      <c r="O303" s="64">
        <f t="shared" si="73"/>
        <v>0</v>
      </c>
      <c r="P303" s="18"/>
    </row>
    <row r="304" spans="1:16" ht="15.6" x14ac:dyDescent="0.3">
      <c r="A304" s="2" t="s">
        <v>89</v>
      </c>
      <c r="B304" s="10" t="s">
        <v>90</v>
      </c>
      <c r="C304" s="24"/>
      <c r="D304" s="46">
        <f t="shared" si="74"/>
        <v>0</v>
      </c>
      <c r="E304" s="24"/>
      <c r="F304" s="25"/>
      <c r="G304" s="51">
        <f t="shared" si="75"/>
        <v>0</v>
      </c>
      <c r="H304" s="25"/>
      <c r="I304" s="51">
        <f t="shared" si="76"/>
        <v>0</v>
      </c>
      <c r="J304" s="27"/>
      <c r="K304" s="59">
        <f t="shared" si="77"/>
        <v>0</v>
      </c>
      <c r="L304" s="63">
        <f t="shared" si="70"/>
        <v>0</v>
      </c>
      <c r="M304" s="64">
        <f t="shared" si="71"/>
        <v>0</v>
      </c>
      <c r="N304" s="63">
        <f t="shared" si="72"/>
        <v>0</v>
      </c>
      <c r="O304" s="64">
        <f t="shared" si="73"/>
        <v>0</v>
      </c>
      <c r="P304" s="18"/>
    </row>
    <row r="305" spans="1:16" ht="15.6" x14ac:dyDescent="0.3">
      <c r="A305" s="2" t="s">
        <v>91</v>
      </c>
      <c r="B305" s="10" t="s">
        <v>92</v>
      </c>
      <c r="C305" s="29"/>
      <c r="D305" s="46">
        <f t="shared" si="74"/>
        <v>0</v>
      </c>
      <c r="E305" s="24"/>
      <c r="F305" s="25"/>
      <c r="G305" s="51">
        <f t="shared" si="75"/>
        <v>0</v>
      </c>
      <c r="H305" s="25"/>
      <c r="I305" s="51">
        <f t="shared" si="76"/>
        <v>0</v>
      </c>
      <c r="J305" s="27"/>
      <c r="K305" s="59">
        <f t="shared" si="77"/>
        <v>0</v>
      </c>
      <c r="L305" s="63">
        <f t="shared" si="70"/>
        <v>0</v>
      </c>
      <c r="M305" s="64">
        <f t="shared" si="71"/>
        <v>0</v>
      </c>
      <c r="N305" s="63">
        <f t="shared" si="72"/>
        <v>0</v>
      </c>
      <c r="O305" s="64">
        <f t="shared" si="73"/>
        <v>0</v>
      </c>
      <c r="P305" s="18"/>
    </row>
    <row r="306" spans="1:16" ht="15.6" x14ac:dyDescent="0.3">
      <c r="A306" s="2" t="s">
        <v>93</v>
      </c>
      <c r="B306" s="10" t="s">
        <v>94</v>
      </c>
      <c r="C306" s="29"/>
      <c r="D306" s="46">
        <f t="shared" si="74"/>
        <v>0</v>
      </c>
      <c r="E306" s="24"/>
      <c r="F306" s="25"/>
      <c r="G306" s="51">
        <f t="shared" si="75"/>
        <v>0</v>
      </c>
      <c r="H306" s="25"/>
      <c r="I306" s="51">
        <f t="shared" si="76"/>
        <v>0</v>
      </c>
      <c r="J306" s="27"/>
      <c r="K306" s="59">
        <f t="shared" si="77"/>
        <v>0</v>
      </c>
      <c r="L306" s="63">
        <f t="shared" si="70"/>
        <v>0</v>
      </c>
      <c r="M306" s="64">
        <f t="shared" si="71"/>
        <v>0</v>
      </c>
      <c r="N306" s="63">
        <f t="shared" si="72"/>
        <v>0</v>
      </c>
      <c r="O306" s="64">
        <f t="shared" si="73"/>
        <v>0</v>
      </c>
      <c r="P306" s="18"/>
    </row>
    <row r="307" spans="1:16" ht="15.6" x14ac:dyDescent="0.3">
      <c r="A307" s="21" t="s">
        <v>95</v>
      </c>
      <c r="B307" s="22" t="s">
        <v>96</v>
      </c>
      <c r="C307" s="91">
        <f>C263-C266</f>
        <v>0</v>
      </c>
      <c r="D307" s="82"/>
      <c r="E307" s="66">
        <f>E263-E266</f>
        <v>0</v>
      </c>
      <c r="F307" s="92">
        <f>F263-F266</f>
        <v>0</v>
      </c>
      <c r="G307" s="82"/>
      <c r="H307" s="92">
        <f>H263-H266</f>
        <v>0</v>
      </c>
      <c r="I307" s="82"/>
      <c r="J307" s="89">
        <f>J263-J266</f>
        <v>0</v>
      </c>
      <c r="K307" s="82"/>
      <c r="L307" s="63">
        <f t="shared" si="70"/>
        <v>0</v>
      </c>
      <c r="M307" s="64">
        <f t="shared" si="71"/>
        <v>0</v>
      </c>
      <c r="N307" s="63">
        <f t="shared" si="72"/>
        <v>0</v>
      </c>
      <c r="O307" s="64">
        <f t="shared" si="73"/>
        <v>0</v>
      </c>
      <c r="P307" s="18"/>
    </row>
    <row r="308" spans="1:16" x14ac:dyDescent="0.3">
      <c r="A308" s="30" t="s">
        <v>97</v>
      </c>
      <c r="B308" s="11" t="s">
        <v>98</v>
      </c>
      <c r="C308" s="84">
        <f>IFERROR(C307/C263,0)</f>
        <v>0</v>
      </c>
      <c r="D308" s="77"/>
      <c r="E308" s="47">
        <f>IFERROR(E307/E263,0)</f>
        <v>0</v>
      </c>
      <c r="F308" s="76">
        <f>IFERROR(F307/F263,0)</f>
        <v>0</v>
      </c>
      <c r="G308" s="77"/>
      <c r="H308" s="76">
        <f>IFERROR(H307/H263,0)</f>
        <v>0</v>
      </c>
      <c r="I308" s="77"/>
      <c r="J308" s="80">
        <f>IFERROR(J307/J263,0)</f>
        <v>0</v>
      </c>
      <c r="K308" s="77"/>
    </row>
    <row r="309" spans="1:16" x14ac:dyDescent="0.3">
      <c r="A309" s="30" t="s">
        <v>99</v>
      </c>
      <c r="B309" s="11" t="s">
        <v>100</v>
      </c>
      <c r="C309" s="84">
        <f>IFERROR(C307/C311,0)</f>
        <v>0</v>
      </c>
      <c r="D309" s="77"/>
      <c r="E309" s="47">
        <f>IFERROR(E307/C311,0)</f>
        <v>0</v>
      </c>
      <c r="F309" s="76">
        <f t="shared" ref="F309" si="78">IFERROR(F307/F311,0)</f>
        <v>0</v>
      </c>
      <c r="G309" s="77"/>
      <c r="H309" s="76">
        <f t="shared" ref="H309" si="79">IFERROR(H307/H311,0)</f>
        <v>0</v>
      </c>
      <c r="I309" s="77"/>
      <c r="J309" s="80">
        <f t="shared" ref="J309" si="80">IFERROR(J307/J311,0)</f>
        <v>0</v>
      </c>
      <c r="K309" s="77"/>
    </row>
    <row r="310" spans="1:16" x14ac:dyDescent="0.3">
      <c r="A310" s="33" t="s">
        <v>101</v>
      </c>
      <c r="B310" s="11" t="s">
        <v>102</v>
      </c>
      <c r="C310" s="84">
        <f>IFERROR(C309*12,0)</f>
        <v>0</v>
      </c>
      <c r="D310" s="77"/>
      <c r="E310" s="47">
        <f>IFERROR(E309*12,0)</f>
        <v>0</v>
      </c>
      <c r="F310" s="76">
        <f t="shared" ref="F310" si="81">IFERROR(F309*12,0)</f>
        <v>0</v>
      </c>
      <c r="G310" s="77"/>
      <c r="H310" s="76">
        <f t="shared" ref="H310" si="82">IFERROR(H309*12,0)</f>
        <v>0</v>
      </c>
      <c r="I310" s="77"/>
      <c r="J310" s="80">
        <f t="shared" ref="J310" si="83">IFERROR(J309*12,0)</f>
        <v>0</v>
      </c>
      <c r="K310" s="77"/>
    </row>
    <row r="311" spans="1:16" x14ac:dyDescent="0.3">
      <c r="A311" s="33" t="s">
        <v>103</v>
      </c>
      <c r="B311" s="12" t="s">
        <v>104</v>
      </c>
      <c r="C311" s="78">
        <v>1685424</v>
      </c>
      <c r="D311" s="79"/>
    </row>
    <row r="313" spans="1:16" ht="39.6" customHeight="1" x14ac:dyDescent="0.3">
      <c r="A313" s="74" t="s">
        <v>0</v>
      </c>
      <c r="B313" s="85" t="s">
        <v>110</v>
      </c>
      <c r="C313" s="93" t="s">
        <v>2</v>
      </c>
      <c r="D313" s="82"/>
      <c r="E313" s="90" t="s">
        <v>3</v>
      </c>
      <c r="F313" s="81" t="s">
        <v>4</v>
      </c>
      <c r="G313" s="82"/>
      <c r="H313" s="81" t="s">
        <v>5</v>
      </c>
      <c r="I313" s="82"/>
      <c r="J313" s="83" t="s">
        <v>6</v>
      </c>
      <c r="K313" s="82"/>
      <c r="L313" s="61" t="s">
        <v>129</v>
      </c>
      <c r="M313" s="62" t="s">
        <v>130</v>
      </c>
      <c r="N313" s="61" t="s">
        <v>131</v>
      </c>
      <c r="O313" s="62" t="s">
        <v>132</v>
      </c>
      <c r="P313" s="18" t="s">
        <v>122</v>
      </c>
    </row>
    <row r="314" spans="1:16" ht="27.6" x14ac:dyDescent="0.3">
      <c r="A314" s="75"/>
      <c r="B314" s="86"/>
      <c r="C314" s="39">
        <v>46204</v>
      </c>
      <c r="D314" s="44" t="s">
        <v>7</v>
      </c>
      <c r="E314" s="75"/>
      <c r="F314" s="40">
        <v>46235</v>
      </c>
      <c r="G314" s="49" t="s">
        <v>7</v>
      </c>
      <c r="H314" s="40">
        <v>46235</v>
      </c>
      <c r="I314" s="49" t="s">
        <v>7</v>
      </c>
      <c r="J314" s="41">
        <v>46266</v>
      </c>
      <c r="K314" s="55" t="s">
        <v>7</v>
      </c>
      <c r="L314" s="116">
        <f>F314</f>
        <v>46235</v>
      </c>
      <c r="M314" s="117"/>
      <c r="N314" s="116">
        <f>F314</f>
        <v>46235</v>
      </c>
      <c r="O314" s="117"/>
      <c r="P314" s="18"/>
    </row>
    <row r="315" spans="1:16" s="16" customFormat="1" ht="15.6" x14ac:dyDescent="0.3">
      <c r="A315" s="32" t="s">
        <v>8</v>
      </c>
      <c r="B315" s="15" t="s">
        <v>124</v>
      </c>
      <c r="C315" s="43">
        <f>SUM(C316:C318)</f>
        <v>0</v>
      </c>
      <c r="D315" s="45"/>
      <c r="E315" s="43">
        <f>SUM(E316:E318)</f>
        <v>0</v>
      </c>
      <c r="F315" s="42">
        <f>SUM(F316:F318)</f>
        <v>0</v>
      </c>
      <c r="G315" s="50"/>
      <c r="H315" s="42">
        <f>SUM(H316:H318)</f>
        <v>0</v>
      </c>
      <c r="I315" s="52"/>
      <c r="J315" s="23">
        <f>SUM(J316:J318)</f>
        <v>0</v>
      </c>
      <c r="K315" s="56"/>
      <c r="L315" s="63">
        <f>H315-F315</f>
        <v>0</v>
      </c>
      <c r="M315" s="64">
        <f>IFERROR(L315/F315,0)</f>
        <v>0</v>
      </c>
      <c r="N315" s="63">
        <f>H315-C315</f>
        <v>0</v>
      </c>
      <c r="O315" s="64">
        <f>IFERROR(N315/C315,0)</f>
        <v>0</v>
      </c>
      <c r="P315" s="19"/>
    </row>
    <row r="316" spans="1:16" ht="15.6" x14ac:dyDescent="0.3">
      <c r="A316" s="1" t="s">
        <v>9</v>
      </c>
      <c r="B316" s="6" t="s">
        <v>126</v>
      </c>
      <c r="C316" s="24"/>
      <c r="D316" s="46"/>
      <c r="E316" s="24"/>
      <c r="F316" s="25"/>
      <c r="G316" s="51"/>
      <c r="H316" s="26"/>
      <c r="I316" s="51"/>
      <c r="J316" s="27"/>
      <c r="K316" s="57"/>
      <c r="L316" s="63">
        <f t="shared" ref="L316:L359" si="84">H316-F316</f>
        <v>0</v>
      </c>
      <c r="M316" s="64">
        <f t="shared" ref="M316:M359" si="85">IFERROR(L316/F316,0)</f>
        <v>0</v>
      </c>
      <c r="N316" s="63">
        <f t="shared" ref="N316:N359" si="86">H316-C316</f>
        <v>0</v>
      </c>
      <c r="O316" s="64">
        <f t="shared" ref="O316:O359" si="87">IFERROR(N316/C316,0)</f>
        <v>0</v>
      </c>
      <c r="P316" s="19"/>
    </row>
    <row r="317" spans="1:16" ht="15.6" x14ac:dyDescent="0.3">
      <c r="A317" s="1" t="s">
        <v>11</v>
      </c>
      <c r="B317" s="6" t="s">
        <v>127</v>
      </c>
      <c r="C317" s="24"/>
      <c r="D317" s="46"/>
      <c r="E317" s="24"/>
      <c r="F317" s="25"/>
      <c r="G317" s="51"/>
      <c r="H317" s="25"/>
      <c r="I317" s="51"/>
      <c r="J317" s="27"/>
      <c r="K317" s="57"/>
      <c r="L317" s="63">
        <f t="shared" si="84"/>
        <v>0</v>
      </c>
      <c r="M317" s="64">
        <f t="shared" si="85"/>
        <v>0</v>
      </c>
      <c r="N317" s="63">
        <f t="shared" si="86"/>
        <v>0</v>
      </c>
      <c r="O317" s="64">
        <f t="shared" si="87"/>
        <v>0</v>
      </c>
      <c r="P317" s="65"/>
    </row>
    <row r="318" spans="1:16" ht="15.6" x14ac:dyDescent="0.3">
      <c r="A318" s="1" t="s">
        <v>111</v>
      </c>
      <c r="B318" s="6" t="s">
        <v>128</v>
      </c>
      <c r="C318" s="43"/>
      <c r="D318" s="45"/>
      <c r="E318" s="43"/>
      <c r="F318" s="42"/>
      <c r="G318" s="52"/>
      <c r="H318" s="42"/>
      <c r="I318" s="52"/>
      <c r="J318" s="23"/>
      <c r="K318" s="58"/>
      <c r="L318" s="63">
        <f t="shared" si="84"/>
        <v>0</v>
      </c>
      <c r="M318" s="64">
        <f t="shared" si="85"/>
        <v>0</v>
      </c>
      <c r="N318" s="63">
        <f t="shared" si="86"/>
        <v>0</v>
      </c>
      <c r="O318" s="64">
        <f t="shared" si="87"/>
        <v>0</v>
      </c>
      <c r="P318" s="18"/>
    </row>
    <row r="319" spans="1:16" ht="15.6" x14ac:dyDescent="0.3">
      <c r="A319" s="14" t="s">
        <v>13</v>
      </c>
      <c r="B319" s="22" t="s">
        <v>14</v>
      </c>
      <c r="C319" s="66">
        <f>C323+C324+C325+C334+C335+C336+C320</f>
        <v>0</v>
      </c>
      <c r="D319" s="46"/>
      <c r="E319" s="66">
        <f>E323+E324+E325+E334+E335+E336+E320</f>
        <v>0</v>
      </c>
      <c r="F319" s="67">
        <f>F323+F324+F325+F334+F335+F336+F320</f>
        <v>0</v>
      </c>
      <c r="G319" s="52"/>
      <c r="H319" s="67">
        <f>H323+H324+H325+H334+H335+H336+H320</f>
        <v>0</v>
      </c>
      <c r="I319" s="52"/>
      <c r="J319" s="23">
        <f>J323+J324+J325+J334+J335+J336+J320</f>
        <v>0</v>
      </c>
      <c r="K319" s="59"/>
      <c r="L319" s="63">
        <f t="shared" si="84"/>
        <v>0</v>
      </c>
      <c r="M319" s="64">
        <f t="shared" si="85"/>
        <v>0</v>
      </c>
      <c r="N319" s="63">
        <f t="shared" si="86"/>
        <v>0</v>
      </c>
      <c r="O319" s="64">
        <f t="shared" si="87"/>
        <v>0</v>
      </c>
      <c r="P319" s="18"/>
    </row>
    <row r="320" spans="1:16" ht="15.6" x14ac:dyDescent="0.3">
      <c r="A320" s="17" t="s">
        <v>15</v>
      </c>
      <c r="B320" s="7" t="s">
        <v>16</v>
      </c>
      <c r="C320" s="24">
        <f>C321+C322</f>
        <v>0</v>
      </c>
      <c r="D320" s="46">
        <f>IFERROR(C320/$C$319,0)</f>
        <v>0</v>
      </c>
      <c r="E320" s="24">
        <f>E322+E321</f>
        <v>0</v>
      </c>
      <c r="F320" s="25">
        <f>F321+F322</f>
        <v>0</v>
      </c>
      <c r="G320" s="51">
        <f>IFERROR(F320/$F$319,0)</f>
        <v>0</v>
      </c>
      <c r="H320" s="25">
        <f>H321+H322</f>
        <v>0</v>
      </c>
      <c r="I320" s="51">
        <f>IFERROR(H320/$H$319,0)</f>
        <v>0</v>
      </c>
      <c r="J320" s="27">
        <f>J321+J322</f>
        <v>0</v>
      </c>
      <c r="K320" s="59">
        <f>IFERROR(J320/$J$319,0)</f>
        <v>0</v>
      </c>
      <c r="L320" s="63">
        <f t="shared" si="84"/>
        <v>0</v>
      </c>
      <c r="M320" s="64">
        <f t="shared" si="85"/>
        <v>0</v>
      </c>
      <c r="N320" s="63">
        <f t="shared" si="86"/>
        <v>0</v>
      </c>
      <c r="O320" s="64">
        <f t="shared" si="87"/>
        <v>0</v>
      </c>
      <c r="P320" s="18"/>
    </row>
    <row r="321" spans="1:16" ht="15.6" x14ac:dyDescent="0.3">
      <c r="A321" s="2" t="s">
        <v>17</v>
      </c>
      <c r="B321" s="8" t="s">
        <v>18</v>
      </c>
      <c r="C321" s="24"/>
      <c r="D321" s="46">
        <f t="shared" ref="D321:D359" si="88">IFERROR(C321/$C$319,0)</f>
        <v>0</v>
      </c>
      <c r="E321" s="24"/>
      <c r="F321" s="25"/>
      <c r="G321" s="51">
        <f t="shared" ref="G321:G359" si="89">IFERROR(F321/$F$319,0)</f>
        <v>0</v>
      </c>
      <c r="H321" s="25"/>
      <c r="I321" s="51">
        <f t="shared" ref="I321:I359" si="90">IFERROR(H321/$H$319,0)</f>
        <v>0</v>
      </c>
      <c r="J321" s="27"/>
      <c r="K321" s="59">
        <f t="shared" ref="K321:K359" si="91">IFERROR(J321/$J$319,0)</f>
        <v>0</v>
      </c>
      <c r="L321" s="63">
        <f t="shared" si="84"/>
        <v>0</v>
      </c>
      <c r="M321" s="64">
        <f t="shared" si="85"/>
        <v>0</v>
      </c>
      <c r="N321" s="63">
        <f t="shared" si="86"/>
        <v>0</v>
      </c>
      <c r="O321" s="64">
        <f t="shared" si="87"/>
        <v>0</v>
      </c>
      <c r="P321" s="18"/>
    </row>
    <row r="322" spans="1:16" ht="15.6" x14ac:dyDescent="0.3">
      <c r="A322" s="18" t="s">
        <v>19</v>
      </c>
      <c r="B322" s="8" t="s">
        <v>20</v>
      </c>
      <c r="C322" s="24"/>
      <c r="D322" s="46">
        <f t="shared" si="88"/>
        <v>0</v>
      </c>
      <c r="E322" s="24"/>
      <c r="F322" s="25"/>
      <c r="G322" s="51">
        <f t="shared" si="89"/>
        <v>0</v>
      </c>
      <c r="H322" s="25"/>
      <c r="I322" s="51">
        <f t="shared" si="90"/>
        <v>0</v>
      </c>
      <c r="J322" s="27"/>
      <c r="K322" s="59">
        <f t="shared" si="91"/>
        <v>0</v>
      </c>
      <c r="L322" s="63">
        <f t="shared" si="84"/>
        <v>0</v>
      </c>
      <c r="M322" s="64">
        <f t="shared" si="85"/>
        <v>0</v>
      </c>
      <c r="N322" s="63">
        <f t="shared" si="86"/>
        <v>0</v>
      </c>
      <c r="O322" s="64">
        <f t="shared" si="87"/>
        <v>0</v>
      </c>
      <c r="P322" s="18"/>
    </row>
    <row r="323" spans="1:16" ht="15.6" x14ac:dyDescent="0.3">
      <c r="A323" s="2" t="s">
        <v>21</v>
      </c>
      <c r="B323" s="7" t="s">
        <v>22</v>
      </c>
      <c r="C323" s="24"/>
      <c r="D323" s="46">
        <f t="shared" si="88"/>
        <v>0</v>
      </c>
      <c r="E323" s="24"/>
      <c r="F323" s="25"/>
      <c r="G323" s="51">
        <f t="shared" si="89"/>
        <v>0</v>
      </c>
      <c r="H323" s="25"/>
      <c r="I323" s="51">
        <f t="shared" si="90"/>
        <v>0</v>
      </c>
      <c r="J323" s="27"/>
      <c r="K323" s="59">
        <f t="shared" si="91"/>
        <v>0</v>
      </c>
      <c r="L323" s="63">
        <f t="shared" si="84"/>
        <v>0</v>
      </c>
      <c r="M323" s="64">
        <f t="shared" si="85"/>
        <v>0</v>
      </c>
      <c r="N323" s="63">
        <f t="shared" si="86"/>
        <v>0</v>
      </c>
      <c r="O323" s="64">
        <f t="shared" si="87"/>
        <v>0</v>
      </c>
      <c r="P323" s="18"/>
    </row>
    <row r="324" spans="1:16" ht="15.6" x14ac:dyDescent="0.3">
      <c r="A324" s="2" t="s">
        <v>23</v>
      </c>
      <c r="B324" s="7" t="s">
        <v>24</v>
      </c>
      <c r="C324" s="24"/>
      <c r="D324" s="46">
        <f t="shared" si="88"/>
        <v>0</v>
      </c>
      <c r="E324" s="24"/>
      <c r="F324" s="25"/>
      <c r="G324" s="51">
        <f t="shared" si="89"/>
        <v>0</v>
      </c>
      <c r="H324" s="25"/>
      <c r="I324" s="51">
        <f t="shared" si="90"/>
        <v>0</v>
      </c>
      <c r="J324" s="27"/>
      <c r="K324" s="59">
        <f t="shared" si="91"/>
        <v>0</v>
      </c>
      <c r="L324" s="63">
        <f t="shared" si="84"/>
        <v>0</v>
      </c>
      <c r="M324" s="64">
        <f t="shared" si="85"/>
        <v>0</v>
      </c>
      <c r="N324" s="63">
        <f t="shared" si="86"/>
        <v>0</v>
      </c>
      <c r="O324" s="64">
        <f t="shared" si="87"/>
        <v>0</v>
      </c>
      <c r="P324" s="18"/>
    </row>
    <row r="325" spans="1:16" ht="15.6" x14ac:dyDescent="0.3">
      <c r="A325" s="2" t="s">
        <v>25</v>
      </c>
      <c r="B325" s="7" t="s">
        <v>26</v>
      </c>
      <c r="C325" s="24">
        <f>SUM(C326:C333)</f>
        <v>0</v>
      </c>
      <c r="D325" s="46">
        <f t="shared" si="88"/>
        <v>0</v>
      </c>
      <c r="E325" s="24">
        <f>SUM(E326:E333)</f>
        <v>0</v>
      </c>
      <c r="F325" s="25">
        <f>SUM(F326:F333)</f>
        <v>0</v>
      </c>
      <c r="G325" s="51">
        <f t="shared" si="89"/>
        <v>0</v>
      </c>
      <c r="H325" s="25">
        <f>SUM(H326:H333)</f>
        <v>0</v>
      </c>
      <c r="I325" s="51">
        <f t="shared" si="90"/>
        <v>0</v>
      </c>
      <c r="J325" s="27">
        <f>SUM(J326:J333)</f>
        <v>0</v>
      </c>
      <c r="K325" s="59">
        <f t="shared" si="91"/>
        <v>0</v>
      </c>
      <c r="L325" s="63">
        <f t="shared" si="84"/>
        <v>0</v>
      </c>
      <c r="M325" s="64">
        <f t="shared" si="85"/>
        <v>0</v>
      </c>
      <c r="N325" s="63">
        <f t="shared" si="86"/>
        <v>0</v>
      </c>
      <c r="O325" s="64">
        <f t="shared" si="87"/>
        <v>0</v>
      </c>
      <c r="P325" s="18"/>
    </row>
    <row r="326" spans="1:16" ht="15.6" x14ac:dyDescent="0.3">
      <c r="A326" s="2" t="s">
        <v>27</v>
      </c>
      <c r="B326" s="9" t="s">
        <v>28</v>
      </c>
      <c r="C326" s="24"/>
      <c r="D326" s="46">
        <f t="shared" si="88"/>
        <v>0</v>
      </c>
      <c r="E326" s="24"/>
      <c r="F326" s="25"/>
      <c r="G326" s="51">
        <f t="shared" si="89"/>
        <v>0</v>
      </c>
      <c r="H326" s="25"/>
      <c r="I326" s="51">
        <f t="shared" si="90"/>
        <v>0</v>
      </c>
      <c r="J326" s="27"/>
      <c r="K326" s="59">
        <f t="shared" si="91"/>
        <v>0</v>
      </c>
      <c r="L326" s="63">
        <f t="shared" si="84"/>
        <v>0</v>
      </c>
      <c r="M326" s="64">
        <f t="shared" si="85"/>
        <v>0</v>
      </c>
      <c r="N326" s="63">
        <f t="shared" si="86"/>
        <v>0</v>
      </c>
      <c r="O326" s="64">
        <f t="shared" si="87"/>
        <v>0</v>
      </c>
      <c r="P326" s="18"/>
    </row>
    <row r="327" spans="1:16" ht="15.6" x14ac:dyDescent="0.3">
      <c r="A327" s="2" t="s">
        <v>29</v>
      </c>
      <c r="B327" s="9" t="s">
        <v>30</v>
      </c>
      <c r="C327" s="24"/>
      <c r="D327" s="46">
        <f t="shared" si="88"/>
        <v>0</v>
      </c>
      <c r="E327" s="24"/>
      <c r="F327" s="25"/>
      <c r="G327" s="51">
        <f t="shared" si="89"/>
        <v>0</v>
      </c>
      <c r="H327" s="25"/>
      <c r="I327" s="51">
        <f t="shared" si="90"/>
        <v>0</v>
      </c>
      <c r="J327" s="27"/>
      <c r="K327" s="59">
        <f t="shared" si="91"/>
        <v>0</v>
      </c>
      <c r="L327" s="63">
        <f t="shared" si="84"/>
        <v>0</v>
      </c>
      <c r="M327" s="64">
        <f t="shared" si="85"/>
        <v>0</v>
      </c>
      <c r="N327" s="63">
        <f t="shared" si="86"/>
        <v>0</v>
      </c>
      <c r="O327" s="64">
        <f t="shared" si="87"/>
        <v>0</v>
      </c>
      <c r="P327" s="18"/>
    </row>
    <row r="328" spans="1:16" ht="15.6" x14ac:dyDescent="0.3">
      <c r="A328" s="2" t="s">
        <v>31</v>
      </c>
      <c r="B328" s="9" t="s">
        <v>32</v>
      </c>
      <c r="C328" s="24"/>
      <c r="D328" s="46">
        <f t="shared" si="88"/>
        <v>0</v>
      </c>
      <c r="E328" s="24"/>
      <c r="F328" s="25"/>
      <c r="G328" s="51">
        <f t="shared" si="89"/>
        <v>0</v>
      </c>
      <c r="H328" s="25"/>
      <c r="I328" s="51">
        <f t="shared" si="90"/>
        <v>0</v>
      </c>
      <c r="J328" s="27"/>
      <c r="K328" s="59">
        <f t="shared" si="91"/>
        <v>0</v>
      </c>
      <c r="L328" s="63">
        <f t="shared" si="84"/>
        <v>0</v>
      </c>
      <c r="M328" s="64">
        <f t="shared" si="85"/>
        <v>0</v>
      </c>
      <c r="N328" s="63">
        <f t="shared" si="86"/>
        <v>0</v>
      </c>
      <c r="O328" s="64">
        <f t="shared" si="87"/>
        <v>0</v>
      </c>
      <c r="P328" s="18"/>
    </row>
    <row r="329" spans="1:16" ht="15.6" x14ac:dyDescent="0.3">
      <c r="A329" s="2" t="s">
        <v>33</v>
      </c>
      <c r="B329" s="9" t="s">
        <v>34</v>
      </c>
      <c r="C329" s="24"/>
      <c r="D329" s="46">
        <f t="shared" si="88"/>
        <v>0</v>
      </c>
      <c r="E329" s="24"/>
      <c r="F329" s="25"/>
      <c r="G329" s="51">
        <f t="shared" si="89"/>
        <v>0</v>
      </c>
      <c r="H329" s="25"/>
      <c r="I329" s="51">
        <f t="shared" si="90"/>
        <v>0</v>
      </c>
      <c r="J329" s="27"/>
      <c r="K329" s="59">
        <f t="shared" si="91"/>
        <v>0</v>
      </c>
      <c r="L329" s="63">
        <f t="shared" si="84"/>
        <v>0</v>
      </c>
      <c r="M329" s="64">
        <f t="shared" si="85"/>
        <v>0</v>
      </c>
      <c r="N329" s="63">
        <f t="shared" si="86"/>
        <v>0</v>
      </c>
      <c r="O329" s="64">
        <f t="shared" si="87"/>
        <v>0</v>
      </c>
      <c r="P329" s="18"/>
    </row>
    <row r="330" spans="1:16" ht="15.6" x14ac:dyDescent="0.3">
      <c r="A330" s="2" t="s">
        <v>35</v>
      </c>
      <c r="B330" s="9" t="s">
        <v>36</v>
      </c>
      <c r="C330" s="24"/>
      <c r="D330" s="46">
        <f t="shared" si="88"/>
        <v>0</v>
      </c>
      <c r="E330" s="24"/>
      <c r="F330" s="25"/>
      <c r="G330" s="51">
        <f t="shared" si="89"/>
        <v>0</v>
      </c>
      <c r="H330" s="25"/>
      <c r="I330" s="51">
        <f t="shared" si="90"/>
        <v>0</v>
      </c>
      <c r="J330" s="27"/>
      <c r="K330" s="59">
        <f t="shared" si="91"/>
        <v>0</v>
      </c>
      <c r="L330" s="63">
        <f t="shared" si="84"/>
        <v>0</v>
      </c>
      <c r="M330" s="64">
        <f t="shared" si="85"/>
        <v>0</v>
      </c>
      <c r="N330" s="63">
        <f t="shared" si="86"/>
        <v>0</v>
      </c>
      <c r="O330" s="64">
        <f t="shared" si="87"/>
        <v>0</v>
      </c>
      <c r="P330" s="18"/>
    </row>
    <row r="331" spans="1:16" ht="27.6" x14ac:dyDescent="0.3">
      <c r="A331" s="2" t="s">
        <v>37</v>
      </c>
      <c r="B331" s="9" t="s">
        <v>38</v>
      </c>
      <c r="C331" s="24"/>
      <c r="D331" s="46">
        <f t="shared" si="88"/>
        <v>0</v>
      </c>
      <c r="E331" s="24"/>
      <c r="F331" s="25"/>
      <c r="G331" s="51">
        <f t="shared" si="89"/>
        <v>0</v>
      </c>
      <c r="H331" s="25"/>
      <c r="I331" s="51">
        <f t="shared" si="90"/>
        <v>0</v>
      </c>
      <c r="J331" s="27"/>
      <c r="K331" s="59">
        <f t="shared" si="91"/>
        <v>0</v>
      </c>
      <c r="L331" s="63">
        <f t="shared" si="84"/>
        <v>0</v>
      </c>
      <c r="M331" s="64">
        <f t="shared" si="85"/>
        <v>0</v>
      </c>
      <c r="N331" s="63">
        <f t="shared" si="86"/>
        <v>0</v>
      </c>
      <c r="O331" s="64">
        <f t="shared" si="87"/>
        <v>0</v>
      </c>
      <c r="P331" s="18"/>
    </row>
    <row r="332" spans="1:16" ht="15.6" x14ac:dyDescent="0.3">
      <c r="A332" s="2" t="s">
        <v>39</v>
      </c>
      <c r="B332" s="9" t="s">
        <v>40</v>
      </c>
      <c r="C332" s="24"/>
      <c r="D332" s="46">
        <f t="shared" si="88"/>
        <v>0</v>
      </c>
      <c r="E332" s="24"/>
      <c r="F332" s="25"/>
      <c r="G332" s="51">
        <f t="shared" si="89"/>
        <v>0</v>
      </c>
      <c r="H332" s="25"/>
      <c r="I332" s="51">
        <f t="shared" si="90"/>
        <v>0</v>
      </c>
      <c r="J332" s="27"/>
      <c r="K332" s="59">
        <f t="shared" si="91"/>
        <v>0</v>
      </c>
      <c r="L332" s="63">
        <f t="shared" si="84"/>
        <v>0</v>
      </c>
      <c r="M332" s="64">
        <f t="shared" si="85"/>
        <v>0</v>
      </c>
      <c r="N332" s="63">
        <f t="shared" si="86"/>
        <v>0</v>
      </c>
      <c r="O332" s="64">
        <f t="shared" si="87"/>
        <v>0</v>
      </c>
      <c r="P332" s="18"/>
    </row>
    <row r="333" spans="1:16" ht="15.6" x14ac:dyDescent="0.3">
      <c r="A333" s="2" t="s">
        <v>41</v>
      </c>
      <c r="B333" s="9" t="s">
        <v>42</v>
      </c>
      <c r="C333" s="24"/>
      <c r="D333" s="46">
        <f t="shared" si="88"/>
        <v>0</v>
      </c>
      <c r="E333" s="24"/>
      <c r="F333" s="25"/>
      <c r="G333" s="51">
        <f t="shared" si="89"/>
        <v>0</v>
      </c>
      <c r="H333" s="25"/>
      <c r="I333" s="51">
        <f t="shared" si="90"/>
        <v>0</v>
      </c>
      <c r="J333" s="27"/>
      <c r="K333" s="59">
        <f t="shared" si="91"/>
        <v>0</v>
      </c>
      <c r="L333" s="63">
        <f t="shared" si="84"/>
        <v>0</v>
      </c>
      <c r="M333" s="64">
        <f t="shared" si="85"/>
        <v>0</v>
      </c>
      <c r="N333" s="63">
        <f t="shared" si="86"/>
        <v>0</v>
      </c>
      <c r="O333" s="64">
        <f t="shared" si="87"/>
        <v>0</v>
      </c>
      <c r="P333" s="18"/>
    </row>
    <row r="334" spans="1:16" ht="15.6" x14ac:dyDescent="0.3">
      <c r="A334" s="2" t="s">
        <v>43</v>
      </c>
      <c r="B334" s="7" t="s">
        <v>44</v>
      </c>
      <c r="C334" s="24"/>
      <c r="D334" s="46">
        <f t="shared" si="88"/>
        <v>0</v>
      </c>
      <c r="E334" s="24"/>
      <c r="F334" s="25"/>
      <c r="G334" s="51">
        <f t="shared" si="89"/>
        <v>0</v>
      </c>
      <c r="H334" s="25"/>
      <c r="I334" s="51">
        <f t="shared" si="90"/>
        <v>0</v>
      </c>
      <c r="J334" s="27"/>
      <c r="K334" s="59">
        <f t="shared" si="91"/>
        <v>0</v>
      </c>
      <c r="L334" s="63">
        <f t="shared" si="84"/>
        <v>0</v>
      </c>
      <c r="M334" s="64">
        <f t="shared" si="85"/>
        <v>0</v>
      </c>
      <c r="N334" s="63">
        <f t="shared" si="86"/>
        <v>0</v>
      </c>
      <c r="O334" s="64">
        <f t="shared" si="87"/>
        <v>0</v>
      </c>
      <c r="P334" s="18"/>
    </row>
    <row r="335" spans="1:16" ht="15.6" x14ac:dyDescent="0.3">
      <c r="A335" s="2" t="s">
        <v>45</v>
      </c>
      <c r="B335" s="7" t="s">
        <v>46</v>
      </c>
      <c r="C335" s="43"/>
      <c r="D335" s="46">
        <f t="shared" si="88"/>
        <v>0</v>
      </c>
      <c r="E335" s="43"/>
      <c r="F335" s="42"/>
      <c r="G335" s="51">
        <f t="shared" si="89"/>
        <v>0</v>
      </c>
      <c r="H335" s="42"/>
      <c r="I335" s="51">
        <f t="shared" si="90"/>
        <v>0</v>
      </c>
      <c r="J335" s="23"/>
      <c r="K335" s="59">
        <f t="shared" si="91"/>
        <v>0</v>
      </c>
      <c r="L335" s="63">
        <f t="shared" si="84"/>
        <v>0</v>
      </c>
      <c r="M335" s="64">
        <f t="shared" si="85"/>
        <v>0</v>
      </c>
      <c r="N335" s="63">
        <f t="shared" si="86"/>
        <v>0</v>
      </c>
      <c r="O335" s="64">
        <f t="shared" si="87"/>
        <v>0</v>
      </c>
      <c r="P335" s="18"/>
    </row>
    <row r="336" spans="1:16" s="16" customFormat="1" ht="15.6" x14ac:dyDescent="0.3">
      <c r="A336" s="14" t="s">
        <v>47</v>
      </c>
      <c r="B336" s="22" t="s">
        <v>48</v>
      </c>
      <c r="C336" s="66">
        <f>SUM(C337:C359)</f>
        <v>0</v>
      </c>
      <c r="D336" s="46">
        <f t="shared" si="88"/>
        <v>0</v>
      </c>
      <c r="E336" s="66">
        <f>SUM(E337:E359)</f>
        <v>0</v>
      </c>
      <c r="F336" s="67">
        <f>SUM(F337:F359)</f>
        <v>0</v>
      </c>
      <c r="G336" s="51">
        <f t="shared" si="89"/>
        <v>0</v>
      </c>
      <c r="H336" s="67">
        <f>SUM(H337:H359)</f>
        <v>0</v>
      </c>
      <c r="I336" s="51">
        <f t="shared" si="90"/>
        <v>0</v>
      </c>
      <c r="J336" s="23">
        <f>SUM(J337:J359)</f>
        <v>0</v>
      </c>
      <c r="K336" s="59">
        <f t="shared" si="91"/>
        <v>0</v>
      </c>
      <c r="L336" s="63">
        <f t="shared" si="84"/>
        <v>0</v>
      </c>
      <c r="M336" s="64">
        <f t="shared" si="85"/>
        <v>0</v>
      </c>
      <c r="N336" s="63">
        <f t="shared" si="86"/>
        <v>0</v>
      </c>
      <c r="O336" s="64">
        <f t="shared" si="87"/>
        <v>0</v>
      </c>
      <c r="P336" s="18"/>
    </row>
    <row r="337" spans="1:16" ht="15.6" x14ac:dyDescent="0.3">
      <c r="A337" s="2" t="s">
        <v>49</v>
      </c>
      <c r="B337" s="10" t="s">
        <v>50</v>
      </c>
      <c r="C337" s="24"/>
      <c r="D337" s="46">
        <f t="shared" si="88"/>
        <v>0</v>
      </c>
      <c r="E337" s="24"/>
      <c r="F337" s="25"/>
      <c r="G337" s="51">
        <f t="shared" si="89"/>
        <v>0</v>
      </c>
      <c r="H337" s="25"/>
      <c r="I337" s="51">
        <f t="shared" si="90"/>
        <v>0</v>
      </c>
      <c r="J337" s="27"/>
      <c r="K337" s="59">
        <f t="shared" si="91"/>
        <v>0</v>
      </c>
      <c r="L337" s="63">
        <f t="shared" si="84"/>
        <v>0</v>
      </c>
      <c r="M337" s="64">
        <f t="shared" si="85"/>
        <v>0</v>
      </c>
      <c r="N337" s="63">
        <f t="shared" si="86"/>
        <v>0</v>
      </c>
      <c r="O337" s="64">
        <f t="shared" si="87"/>
        <v>0</v>
      </c>
      <c r="P337" s="18"/>
    </row>
    <row r="338" spans="1:16" ht="15.6" x14ac:dyDescent="0.3">
      <c r="A338" s="2" t="s">
        <v>51</v>
      </c>
      <c r="B338" s="10" t="s">
        <v>52</v>
      </c>
      <c r="C338" s="24"/>
      <c r="D338" s="46">
        <f t="shared" si="88"/>
        <v>0</v>
      </c>
      <c r="E338" s="24"/>
      <c r="F338" s="25"/>
      <c r="G338" s="51">
        <f t="shared" si="89"/>
        <v>0</v>
      </c>
      <c r="H338" s="25"/>
      <c r="I338" s="51">
        <f t="shared" si="90"/>
        <v>0</v>
      </c>
      <c r="J338" s="27"/>
      <c r="K338" s="59">
        <f t="shared" si="91"/>
        <v>0</v>
      </c>
      <c r="L338" s="63">
        <f t="shared" si="84"/>
        <v>0</v>
      </c>
      <c r="M338" s="64">
        <f t="shared" si="85"/>
        <v>0</v>
      </c>
      <c r="N338" s="63">
        <f t="shared" si="86"/>
        <v>0</v>
      </c>
      <c r="O338" s="64">
        <f t="shared" si="87"/>
        <v>0</v>
      </c>
      <c r="P338" s="18"/>
    </row>
    <row r="339" spans="1:16" ht="15.6" x14ac:dyDescent="0.3">
      <c r="A339" s="2" t="s">
        <v>53</v>
      </c>
      <c r="B339" s="10" t="s">
        <v>54</v>
      </c>
      <c r="C339" s="24"/>
      <c r="D339" s="46">
        <f t="shared" si="88"/>
        <v>0</v>
      </c>
      <c r="E339" s="24"/>
      <c r="F339" s="25"/>
      <c r="G339" s="51">
        <f t="shared" si="89"/>
        <v>0</v>
      </c>
      <c r="H339" s="25"/>
      <c r="I339" s="51">
        <f t="shared" si="90"/>
        <v>0</v>
      </c>
      <c r="J339" s="27"/>
      <c r="K339" s="59">
        <f t="shared" si="91"/>
        <v>0</v>
      </c>
      <c r="L339" s="63">
        <f t="shared" si="84"/>
        <v>0</v>
      </c>
      <c r="M339" s="64">
        <f t="shared" si="85"/>
        <v>0</v>
      </c>
      <c r="N339" s="63">
        <f t="shared" si="86"/>
        <v>0</v>
      </c>
      <c r="O339" s="64">
        <f t="shared" si="87"/>
        <v>0</v>
      </c>
      <c r="P339" s="18"/>
    </row>
    <row r="340" spans="1:16" ht="15.6" x14ac:dyDescent="0.3">
      <c r="A340" s="2" t="s">
        <v>55</v>
      </c>
      <c r="B340" s="10" t="s">
        <v>56</v>
      </c>
      <c r="C340" s="29"/>
      <c r="D340" s="46">
        <f t="shared" si="88"/>
        <v>0</v>
      </c>
      <c r="E340" s="24"/>
      <c r="F340" s="25"/>
      <c r="G340" s="51">
        <f t="shared" si="89"/>
        <v>0</v>
      </c>
      <c r="H340" s="25"/>
      <c r="I340" s="51">
        <f t="shared" si="90"/>
        <v>0</v>
      </c>
      <c r="J340" s="27"/>
      <c r="K340" s="59">
        <f t="shared" si="91"/>
        <v>0</v>
      </c>
      <c r="L340" s="63">
        <f t="shared" si="84"/>
        <v>0</v>
      </c>
      <c r="M340" s="64">
        <f t="shared" si="85"/>
        <v>0</v>
      </c>
      <c r="N340" s="63">
        <f t="shared" si="86"/>
        <v>0</v>
      </c>
      <c r="O340" s="64">
        <f t="shared" si="87"/>
        <v>0</v>
      </c>
      <c r="P340" s="18"/>
    </row>
    <row r="341" spans="1:16" ht="15.6" x14ac:dyDescent="0.3">
      <c r="A341" s="2" t="s">
        <v>57</v>
      </c>
      <c r="B341" s="10" t="s">
        <v>58</v>
      </c>
      <c r="C341" s="24"/>
      <c r="D341" s="46">
        <f t="shared" si="88"/>
        <v>0</v>
      </c>
      <c r="E341" s="24"/>
      <c r="F341" s="25"/>
      <c r="G341" s="51">
        <f t="shared" si="89"/>
        <v>0</v>
      </c>
      <c r="H341" s="25"/>
      <c r="I341" s="51">
        <f t="shared" si="90"/>
        <v>0</v>
      </c>
      <c r="J341" s="27"/>
      <c r="K341" s="59">
        <f t="shared" si="91"/>
        <v>0</v>
      </c>
      <c r="L341" s="63">
        <f t="shared" si="84"/>
        <v>0</v>
      </c>
      <c r="M341" s="64">
        <f t="shared" si="85"/>
        <v>0</v>
      </c>
      <c r="N341" s="63">
        <f t="shared" si="86"/>
        <v>0</v>
      </c>
      <c r="O341" s="64">
        <f t="shared" si="87"/>
        <v>0</v>
      </c>
      <c r="P341" s="18"/>
    </row>
    <row r="342" spans="1:16" ht="15.6" x14ac:dyDescent="0.3">
      <c r="A342" s="2" t="s">
        <v>59</v>
      </c>
      <c r="B342" s="10" t="s">
        <v>60</v>
      </c>
      <c r="C342" s="29"/>
      <c r="D342" s="46">
        <f t="shared" si="88"/>
        <v>0</v>
      </c>
      <c r="E342" s="24"/>
      <c r="F342" s="25"/>
      <c r="G342" s="51">
        <f t="shared" si="89"/>
        <v>0</v>
      </c>
      <c r="H342" s="25"/>
      <c r="I342" s="51">
        <f t="shared" si="90"/>
        <v>0</v>
      </c>
      <c r="J342" s="27"/>
      <c r="K342" s="59">
        <f t="shared" si="91"/>
        <v>0</v>
      </c>
      <c r="L342" s="63">
        <f t="shared" si="84"/>
        <v>0</v>
      </c>
      <c r="M342" s="64">
        <f t="shared" si="85"/>
        <v>0</v>
      </c>
      <c r="N342" s="63">
        <f t="shared" si="86"/>
        <v>0</v>
      </c>
      <c r="O342" s="64">
        <f t="shared" si="87"/>
        <v>0</v>
      </c>
      <c r="P342" s="18"/>
    </row>
    <row r="343" spans="1:16" ht="15.6" x14ac:dyDescent="0.3">
      <c r="A343" s="2" t="s">
        <v>61</v>
      </c>
      <c r="B343" s="10" t="s">
        <v>62</v>
      </c>
      <c r="C343" s="24"/>
      <c r="D343" s="46">
        <f t="shared" si="88"/>
        <v>0</v>
      </c>
      <c r="E343" s="24"/>
      <c r="F343" s="25"/>
      <c r="G343" s="51">
        <f t="shared" si="89"/>
        <v>0</v>
      </c>
      <c r="H343" s="25"/>
      <c r="I343" s="51">
        <f t="shared" si="90"/>
        <v>0</v>
      </c>
      <c r="J343" s="27"/>
      <c r="K343" s="59">
        <f t="shared" si="91"/>
        <v>0</v>
      </c>
      <c r="L343" s="63">
        <f t="shared" si="84"/>
        <v>0</v>
      </c>
      <c r="M343" s="64">
        <f t="shared" si="85"/>
        <v>0</v>
      </c>
      <c r="N343" s="63">
        <f t="shared" si="86"/>
        <v>0</v>
      </c>
      <c r="O343" s="64">
        <f t="shared" si="87"/>
        <v>0</v>
      </c>
      <c r="P343" s="18"/>
    </row>
    <row r="344" spans="1:16" ht="15.6" x14ac:dyDescent="0.3">
      <c r="A344" s="2" t="s">
        <v>63</v>
      </c>
      <c r="B344" s="10" t="s">
        <v>64</v>
      </c>
      <c r="C344" s="29"/>
      <c r="D344" s="46">
        <f t="shared" si="88"/>
        <v>0</v>
      </c>
      <c r="E344" s="24"/>
      <c r="F344" s="25"/>
      <c r="G344" s="51">
        <f t="shared" si="89"/>
        <v>0</v>
      </c>
      <c r="H344" s="25"/>
      <c r="I344" s="51">
        <f t="shared" si="90"/>
        <v>0</v>
      </c>
      <c r="J344" s="27"/>
      <c r="K344" s="59">
        <f t="shared" si="91"/>
        <v>0</v>
      </c>
      <c r="L344" s="63">
        <f t="shared" si="84"/>
        <v>0</v>
      </c>
      <c r="M344" s="64">
        <f t="shared" si="85"/>
        <v>0</v>
      </c>
      <c r="N344" s="63">
        <f t="shared" si="86"/>
        <v>0</v>
      </c>
      <c r="O344" s="64">
        <f t="shared" si="87"/>
        <v>0</v>
      </c>
      <c r="P344" s="18"/>
    </row>
    <row r="345" spans="1:16" ht="15.6" x14ac:dyDescent="0.3">
      <c r="A345" s="2" t="s">
        <v>65</v>
      </c>
      <c r="B345" s="10" t="s">
        <v>66</v>
      </c>
      <c r="C345" s="29"/>
      <c r="D345" s="46">
        <f t="shared" si="88"/>
        <v>0</v>
      </c>
      <c r="E345" s="24"/>
      <c r="F345" s="25"/>
      <c r="G345" s="51">
        <f t="shared" si="89"/>
        <v>0</v>
      </c>
      <c r="H345" s="25"/>
      <c r="I345" s="51">
        <f t="shared" si="90"/>
        <v>0</v>
      </c>
      <c r="J345" s="27"/>
      <c r="K345" s="59">
        <f t="shared" si="91"/>
        <v>0</v>
      </c>
      <c r="L345" s="63">
        <f t="shared" si="84"/>
        <v>0</v>
      </c>
      <c r="M345" s="64">
        <f t="shared" si="85"/>
        <v>0</v>
      </c>
      <c r="N345" s="63">
        <f t="shared" si="86"/>
        <v>0</v>
      </c>
      <c r="O345" s="64">
        <f t="shared" si="87"/>
        <v>0</v>
      </c>
      <c r="P345" s="18"/>
    </row>
    <row r="346" spans="1:16" ht="15.6" x14ac:dyDescent="0.3">
      <c r="A346" s="2" t="s">
        <v>67</v>
      </c>
      <c r="B346" s="10" t="s">
        <v>68</v>
      </c>
      <c r="C346" s="29"/>
      <c r="D346" s="46">
        <f t="shared" si="88"/>
        <v>0</v>
      </c>
      <c r="E346" s="24"/>
      <c r="F346" s="25"/>
      <c r="G346" s="51">
        <f t="shared" si="89"/>
        <v>0</v>
      </c>
      <c r="H346" s="25"/>
      <c r="I346" s="51">
        <f t="shared" si="90"/>
        <v>0</v>
      </c>
      <c r="J346" s="27"/>
      <c r="K346" s="59">
        <f t="shared" si="91"/>
        <v>0</v>
      </c>
      <c r="L346" s="63">
        <f t="shared" si="84"/>
        <v>0</v>
      </c>
      <c r="M346" s="64">
        <f t="shared" si="85"/>
        <v>0</v>
      </c>
      <c r="N346" s="63">
        <f t="shared" si="86"/>
        <v>0</v>
      </c>
      <c r="O346" s="64">
        <f t="shared" si="87"/>
        <v>0</v>
      </c>
      <c r="P346" s="18"/>
    </row>
    <row r="347" spans="1:16" ht="15.6" x14ac:dyDescent="0.3">
      <c r="A347" s="2" t="s">
        <v>69</v>
      </c>
      <c r="B347" s="10" t="s">
        <v>70</v>
      </c>
      <c r="C347" s="29"/>
      <c r="D347" s="46">
        <f t="shared" si="88"/>
        <v>0</v>
      </c>
      <c r="E347" s="24"/>
      <c r="F347" s="25"/>
      <c r="G347" s="51">
        <f t="shared" si="89"/>
        <v>0</v>
      </c>
      <c r="H347" s="25"/>
      <c r="I347" s="51">
        <f t="shared" si="90"/>
        <v>0</v>
      </c>
      <c r="J347" s="27"/>
      <c r="K347" s="59">
        <f t="shared" si="91"/>
        <v>0</v>
      </c>
      <c r="L347" s="63">
        <f t="shared" si="84"/>
        <v>0</v>
      </c>
      <c r="M347" s="64">
        <f t="shared" si="85"/>
        <v>0</v>
      </c>
      <c r="N347" s="63">
        <f t="shared" si="86"/>
        <v>0</v>
      </c>
      <c r="O347" s="64">
        <f t="shared" si="87"/>
        <v>0</v>
      </c>
      <c r="P347" s="18"/>
    </row>
    <row r="348" spans="1:16" ht="15.6" x14ac:dyDescent="0.3">
      <c r="A348" s="31" t="s">
        <v>71</v>
      </c>
      <c r="B348" s="10" t="s">
        <v>72</v>
      </c>
      <c r="C348" s="24"/>
      <c r="D348" s="46">
        <f t="shared" si="88"/>
        <v>0</v>
      </c>
      <c r="E348" s="24"/>
      <c r="F348" s="25"/>
      <c r="G348" s="51">
        <f t="shared" si="89"/>
        <v>0</v>
      </c>
      <c r="H348" s="25"/>
      <c r="I348" s="51">
        <f t="shared" si="90"/>
        <v>0</v>
      </c>
      <c r="J348" s="27"/>
      <c r="K348" s="59">
        <f t="shared" si="91"/>
        <v>0</v>
      </c>
      <c r="L348" s="63">
        <f t="shared" si="84"/>
        <v>0</v>
      </c>
      <c r="M348" s="64">
        <f t="shared" si="85"/>
        <v>0</v>
      </c>
      <c r="N348" s="63">
        <f t="shared" si="86"/>
        <v>0</v>
      </c>
      <c r="O348" s="64">
        <f t="shared" si="87"/>
        <v>0</v>
      </c>
      <c r="P348" s="18"/>
    </row>
    <row r="349" spans="1:16" ht="15.6" x14ac:dyDescent="0.3">
      <c r="A349" s="2" t="s">
        <v>73</v>
      </c>
      <c r="B349" s="10" t="s">
        <v>74</v>
      </c>
      <c r="C349" s="29"/>
      <c r="D349" s="46">
        <f t="shared" si="88"/>
        <v>0</v>
      </c>
      <c r="E349" s="24"/>
      <c r="F349" s="25"/>
      <c r="G349" s="51">
        <f t="shared" si="89"/>
        <v>0</v>
      </c>
      <c r="H349" s="25"/>
      <c r="I349" s="51">
        <f t="shared" si="90"/>
        <v>0</v>
      </c>
      <c r="J349" s="27"/>
      <c r="K349" s="59">
        <f t="shared" si="91"/>
        <v>0</v>
      </c>
      <c r="L349" s="63">
        <f t="shared" si="84"/>
        <v>0</v>
      </c>
      <c r="M349" s="64">
        <f t="shared" si="85"/>
        <v>0</v>
      </c>
      <c r="N349" s="63">
        <f t="shared" si="86"/>
        <v>0</v>
      </c>
      <c r="O349" s="64">
        <f t="shared" si="87"/>
        <v>0</v>
      </c>
      <c r="P349" s="18"/>
    </row>
    <row r="350" spans="1:16" ht="15.6" x14ac:dyDescent="0.3">
      <c r="A350" s="18" t="s">
        <v>75</v>
      </c>
      <c r="B350" s="10" t="s">
        <v>76</v>
      </c>
      <c r="C350" s="29"/>
      <c r="D350" s="46">
        <f t="shared" si="88"/>
        <v>0</v>
      </c>
      <c r="E350" s="24"/>
      <c r="F350" s="25"/>
      <c r="G350" s="51">
        <f t="shared" si="89"/>
        <v>0</v>
      </c>
      <c r="H350" s="25"/>
      <c r="I350" s="51">
        <f t="shared" si="90"/>
        <v>0</v>
      </c>
      <c r="J350" s="27"/>
      <c r="K350" s="59">
        <f t="shared" si="91"/>
        <v>0</v>
      </c>
      <c r="L350" s="63">
        <f t="shared" si="84"/>
        <v>0</v>
      </c>
      <c r="M350" s="64">
        <f t="shared" si="85"/>
        <v>0</v>
      </c>
      <c r="N350" s="63">
        <f t="shared" si="86"/>
        <v>0</v>
      </c>
      <c r="O350" s="64">
        <f t="shared" si="87"/>
        <v>0</v>
      </c>
      <c r="P350" s="18"/>
    </row>
    <row r="351" spans="1:16" ht="15.6" x14ac:dyDescent="0.3">
      <c r="A351" s="2" t="s">
        <v>77</v>
      </c>
      <c r="B351" s="10" t="s">
        <v>78</v>
      </c>
      <c r="C351" s="24"/>
      <c r="D351" s="46">
        <f t="shared" si="88"/>
        <v>0</v>
      </c>
      <c r="E351" s="24"/>
      <c r="F351" s="25"/>
      <c r="G351" s="51">
        <f t="shared" si="89"/>
        <v>0</v>
      </c>
      <c r="H351" s="25"/>
      <c r="I351" s="51">
        <f t="shared" si="90"/>
        <v>0</v>
      </c>
      <c r="J351" s="27"/>
      <c r="K351" s="59">
        <f t="shared" si="91"/>
        <v>0</v>
      </c>
      <c r="L351" s="63">
        <f t="shared" si="84"/>
        <v>0</v>
      </c>
      <c r="M351" s="64">
        <f t="shared" si="85"/>
        <v>0</v>
      </c>
      <c r="N351" s="63">
        <f t="shared" si="86"/>
        <v>0</v>
      </c>
      <c r="O351" s="64">
        <f t="shared" si="87"/>
        <v>0</v>
      </c>
      <c r="P351" s="18"/>
    </row>
    <row r="352" spans="1:16" ht="15.6" x14ac:dyDescent="0.3">
      <c r="A352" s="18" t="s">
        <v>79</v>
      </c>
      <c r="B352" s="10" t="s">
        <v>80</v>
      </c>
      <c r="C352" s="24"/>
      <c r="D352" s="46">
        <f t="shared" si="88"/>
        <v>0</v>
      </c>
      <c r="E352" s="24"/>
      <c r="F352" s="25"/>
      <c r="G352" s="51">
        <f t="shared" si="89"/>
        <v>0</v>
      </c>
      <c r="H352" s="25"/>
      <c r="I352" s="51">
        <f t="shared" si="90"/>
        <v>0</v>
      </c>
      <c r="J352" s="27"/>
      <c r="K352" s="59">
        <f t="shared" si="91"/>
        <v>0</v>
      </c>
      <c r="L352" s="63">
        <f t="shared" si="84"/>
        <v>0</v>
      </c>
      <c r="M352" s="64">
        <f t="shared" si="85"/>
        <v>0</v>
      </c>
      <c r="N352" s="63">
        <f t="shared" si="86"/>
        <v>0</v>
      </c>
      <c r="O352" s="64">
        <f t="shared" si="87"/>
        <v>0</v>
      </c>
      <c r="P352" s="18"/>
    </row>
    <row r="353" spans="1:16" ht="15.6" x14ac:dyDescent="0.3">
      <c r="A353" s="2" t="s">
        <v>81</v>
      </c>
      <c r="B353" s="10" t="s">
        <v>82</v>
      </c>
      <c r="C353" s="24"/>
      <c r="D353" s="46">
        <f t="shared" si="88"/>
        <v>0</v>
      </c>
      <c r="E353" s="24"/>
      <c r="F353" s="25"/>
      <c r="G353" s="51">
        <f t="shared" si="89"/>
        <v>0</v>
      </c>
      <c r="H353" s="25"/>
      <c r="I353" s="51">
        <f t="shared" si="90"/>
        <v>0</v>
      </c>
      <c r="J353" s="27"/>
      <c r="K353" s="59">
        <f t="shared" si="91"/>
        <v>0</v>
      </c>
      <c r="L353" s="63">
        <f t="shared" si="84"/>
        <v>0</v>
      </c>
      <c r="M353" s="64">
        <f t="shared" si="85"/>
        <v>0</v>
      </c>
      <c r="N353" s="63">
        <f t="shared" si="86"/>
        <v>0</v>
      </c>
      <c r="O353" s="64">
        <f t="shared" si="87"/>
        <v>0</v>
      </c>
      <c r="P353" s="18"/>
    </row>
    <row r="354" spans="1:16" ht="15.6" x14ac:dyDescent="0.3">
      <c r="A354" s="2" t="s">
        <v>83</v>
      </c>
      <c r="B354" s="10" t="s">
        <v>84</v>
      </c>
      <c r="C354" s="29"/>
      <c r="D354" s="46">
        <f t="shared" si="88"/>
        <v>0</v>
      </c>
      <c r="E354" s="24"/>
      <c r="F354" s="25"/>
      <c r="G354" s="51">
        <f t="shared" si="89"/>
        <v>0</v>
      </c>
      <c r="H354" s="25"/>
      <c r="I354" s="51">
        <f t="shared" si="90"/>
        <v>0</v>
      </c>
      <c r="J354" s="27"/>
      <c r="K354" s="59">
        <f t="shared" si="91"/>
        <v>0</v>
      </c>
      <c r="L354" s="63">
        <f t="shared" si="84"/>
        <v>0</v>
      </c>
      <c r="M354" s="64">
        <f t="shared" si="85"/>
        <v>0</v>
      </c>
      <c r="N354" s="63">
        <f t="shared" si="86"/>
        <v>0</v>
      </c>
      <c r="O354" s="64">
        <f t="shared" si="87"/>
        <v>0</v>
      </c>
      <c r="P354" s="18"/>
    </row>
    <row r="355" spans="1:16" ht="15.6" x14ac:dyDescent="0.3">
      <c r="A355" s="2" t="s">
        <v>85</v>
      </c>
      <c r="B355" s="10" t="s">
        <v>86</v>
      </c>
      <c r="C355" s="29"/>
      <c r="D355" s="46">
        <f t="shared" si="88"/>
        <v>0</v>
      </c>
      <c r="E355" s="24"/>
      <c r="F355" s="25"/>
      <c r="G355" s="51">
        <f t="shared" si="89"/>
        <v>0</v>
      </c>
      <c r="H355" s="25"/>
      <c r="I355" s="51">
        <f t="shared" si="90"/>
        <v>0</v>
      </c>
      <c r="J355" s="27"/>
      <c r="K355" s="59">
        <f t="shared" si="91"/>
        <v>0</v>
      </c>
      <c r="L355" s="63">
        <f t="shared" si="84"/>
        <v>0</v>
      </c>
      <c r="M355" s="64">
        <f t="shared" si="85"/>
        <v>0</v>
      </c>
      <c r="N355" s="63">
        <f t="shared" si="86"/>
        <v>0</v>
      </c>
      <c r="O355" s="64">
        <f t="shared" si="87"/>
        <v>0</v>
      </c>
      <c r="P355" s="18"/>
    </row>
    <row r="356" spans="1:16" ht="15.6" x14ac:dyDescent="0.3">
      <c r="A356" s="2" t="s">
        <v>87</v>
      </c>
      <c r="B356" s="10" t="s">
        <v>88</v>
      </c>
      <c r="C356" s="24"/>
      <c r="D356" s="46">
        <f t="shared" si="88"/>
        <v>0</v>
      </c>
      <c r="E356" s="24"/>
      <c r="F356" s="25"/>
      <c r="G356" s="51">
        <f t="shared" si="89"/>
        <v>0</v>
      </c>
      <c r="H356" s="25"/>
      <c r="I356" s="51">
        <f t="shared" si="90"/>
        <v>0</v>
      </c>
      <c r="J356" s="27"/>
      <c r="K356" s="59">
        <f t="shared" si="91"/>
        <v>0</v>
      </c>
      <c r="L356" s="63">
        <f t="shared" si="84"/>
        <v>0</v>
      </c>
      <c r="M356" s="64">
        <f t="shared" si="85"/>
        <v>0</v>
      </c>
      <c r="N356" s="63">
        <f t="shared" si="86"/>
        <v>0</v>
      </c>
      <c r="O356" s="64">
        <f t="shared" si="87"/>
        <v>0</v>
      </c>
      <c r="P356" s="18"/>
    </row>
    <row r="357" spans="1:16" ht="15.6" x14ac:dyDescent="0.3">
      <c r="A357" s="2" t="s">
        <v>89</v>
      </c>
      <c r="B357" s="10" t="s">
        <v>90</v>
      </c>
      <c r="C357" s="29"/>
      <c r="D357" s="46">
        <f t="shared" si="88"/>
        <v>0</v>
      </c>
      <c r="E357" s="24"/>
      <c r="F357" s="25"/>
      <c r="G357" s="51">
        <f t="shared" si="89"/>
        <v>0</v>
      </c>
      <c r="H357" s="25"/>
      <c r="I357" s="51">
        <f t="shared" si="90"/>
        <v>0</v>
      </c>
      <c r="J357" s="27"/>
      <c r="K357" s="59">
        <f t="shared" si="91"/>
        <v>0</v>
      </c>
      <c r="L357" s="63">
        <f t="shared" si="84"/>
        <v>0</v>
      </c>
      <c r="M357" s="64">
        <f t="shared" si="85"/>
        <v>0</v>
      </c>
      <c r="N357" s="63">
        <f t="shared" si="86"/>
        <v>0</v>
      </c>
      <c r="O357" s="64">
        <f t="shared" si="87"/>
        <v>0</v>
      </c>
      <c r="P357" s="18"/>
    </row>
    <row r="358" spans="1:16" ht="15.6" x14ac:dyDescent="0.3">
      <c r="A358" s="2" t="s">
        <v>91</v>
      </c>
      <c r="B358" s="10" t="s">
        <v>92</v>
      </c>
      <c r="C358" s="29"/>
      <c r="D358" s="46">
        <f t="shared" si="88"/>
        <v>0</v>
      </c>
      <c r="E358" s="24"/>
      <c r="F358" s="25"/>
      <c r="G358" s="51">
        <f t="shared" si="89"/>
        <v>0</v>
      </c>
      <c r="H358" s="25"/>
      <c r="I358" s="51">
        <f t="shared" si="90"/>
        <v>0</v>
      </c>
      <c r="J358" s="27"/>
      <c r="K358" s="59">
        <f t="shared" si="91"/>
        <v>0</v>
      </c>
      <c r="L358" s="63">
        <f t="shared" si="84"/>
        <v>0</v>
      </c>
      <c r="M358" s="64">
        <f t="shared" si="85"/>
        <v>0</v>
      </c>
      <c r="N358" s="63">
        <f t="shared" si="86"/>
        <v>0</v>
      </c>
      <c r="O358" s="64">
        <f t="shared" si="87"/>
        <v>0</v>
      </c>
      <c r="P358" s="18"/>
    </row>
    <row r="359" spans="1:16" ht="15.6" x14ac:dyDescent="0.3">
      <c r="A359" s="2" t="s">
        <v>93</v>
      </c>
      <c r="B359" s="10" t="s">
        <v>94</v>
      </c>
      <c r="C359" s="29"/>
      <c r="D359" s="46">
        <f t="shared" si="88"/>
        <v>0</v>
      </c>
      <c r="E359" s="24"/>
      <c r="F359" s="25"/>
      <c r="G359" s="51">
        <f t="shared" si="89"/>
        <v>0</v>
      </c>
      <c r="H359" s="25"/>
      <c r="I359" s="51">
        <f t="shared" si="90"/>
        <v>0</v>
      </c>
      <c r="J359" s="27"/>
      <c r="K359" s="59">
        <f t="shared" si="91"/>
        <v>0</v>
      </c>
      <c r="L359" s="63">
        <f t="shared" si="84"/>
        <v>0</v>
      </c>
      <c r="M359" s="64">
        <f t="shared" si="85"/>
        <v>0</v>
      </c>
      <c r="N359" s="63">
        <f t="shared" si="86"/>
        <v>0</v>
      </c>
      <c r="O359" s="64">
        <f t="shared" si="87"/>
        <v>0</v>
      </c>
      <c r="P359" s="18"/>
    </row>
    <row r="360" spans="1:16" ht="15.6" x14ac:dyDescent="0.3">
      <c r="A360" s="21" t="s">
        <v>95</v>
      </c>
      <c r="B360" s="22" t="s">
        <v>96</v>
      </c>
      <c r="C360" s="104">
        <f>C315-C319</f>
        <v>0</v>
      </c>
      <c r="D360" s="88"/>
      <c r="E360" s="3">
        <f>E315-E319</f>
        <v>0</v>
      </c>
      <c r="F360" s="87">
        <f>IFERROR(#REF!/F315,0)</f>
        <v>0</v>
      </c>
      <c r="G360" s="88"/>
      <c r="H360" s="87">
        <f>IFERROR(#REF!/H315,0)</f>
        <v>0</v>
      </c>
      <c r="I360" s="88"/>
      <c r="J360" s="111">
        <f>IFERROR(#REF!/J315,0)</f>
        <v>0</v>
      </c>
      <c r="K360" s="88"/>
    </row>
    <row r="361" spans="1:16" x14ac:dyDescent="0.3">
      <c r="A361" s="30" t="s">
        <v>97</v>
      </c>
      <c r="B361" s="11" t="s">
        <v>98</v>
      </c>
      <c r="C361" s="84">
        <f>IFERROR(C360/C315,0)</f>
        <v>0</v>
      </c>
      <c r="D361" s="77"/>
      <c r="E361" s="47">
        <f>IFERROR(E360/E315,0)</f>
        <v>0</v>
      </c>
      <c r="F361" s="76">
        <f t="shared" ref="F361" si="92">IFERROR(F360/F315,0)</f>
        <v>0</v>
      </c>
      <c r="G361" s="77"/>
      <c r="H361" s="76">
        <f t="shared" ref="H361" si="93">IFERROR(H360/H315,0)</f>
        <v>0</v>
      </c>
      <c r="I361" s="77"/>
      <c r="J361" s="80">
        <f t="shared" ref="J361" si="94">IFERROR(J360/J315,0)</f>
        <v>0</v>
      </c>
      <c r="K361" s="77"/>
    </row>
    <row r="362" spans="1:16" x14ac:dyDescent="0.3">
      <c r="A362" s="30" t="s">
        <v>99</v>
      </c>
      <c r="B362" s="11" t="s">
        <v>100</v>
      </c>
      <c r="C362" s="84">
        <f>IFERROR(C360/C364,0)</f>
        <v>0</v>
      </c>
      <c r="D362" s="77"/>
      <c r="E362" s="47">
        <f>IFERROR(E360/C364,0)</f>
        <v>0</v>
      </c>
      <c r="F362" s="76">
        <f t="shared" ref="F362" si="95">IFERROR(F360/F364,0)</f>
        <v>0</v>
      </c>
      <c r="G362" s="77"/>
      <c r="H362" s="76">
        <f t="shared" ref="H362" si="96">IFERROR(H360/H364,0)</f>
        <v>0</v>
      </c>
      <c r="I362" s="77"/>
      <c r="J362" s="80">
        <f t="shared" ref="J362" si="97">IFERROR(J360/J364,0)</f>
        <v>0</v>
      </c>
      <c r="K362" s="77"/>
    </row>
    <row r="363" spans="1:16" x14ac:dyDescent="0.3">
      <c r="A363" s="33" t="s">
        <v>101</v>
      </c>
      <c r="B363" s="11" t="s">
        <v>102</v>
      </c>
      <c r="C363" s="84">
        <f>IFERROR(C362*12,0)</f>
        <v>0</v>
      </c>
      <c r="D363" s="77"/>
      <c r="E363" s="47">
        <f>IFERROR(E362*12,0)</f>
        <v>0</v>
      </c>
      <c r="F363" s="76">
        <f t="shared" ref="F363" si="98">IFERROR(F362*12,0)</f>
        <v>0</v>
      </c>
      <c r="G363" s="77"/>
      <c r="H363" s="76">
        <f t="shared" ref="H363" si="99">IFERROR(H362*12,0)</f>
        <v>0</v>
      </c>
      <c r="I363" s="77"/>
      <c r="J363" s="80">
        <f t="shared" ref="J363" si="100">IFERROR(J362*12,0)</f>
        <v>0</v>
      </c>
      <c r="K363" s="77"/>
    </row>
    <row r="364" spans="1:16" x14ac:dyDescent="0.3">
      <c r="A364" s="33" t="s">
        <v>103</v>
      </c>
      <c r="B364" s="12" t="s">
        <v>104</v>
      </c>
      <c r="C364" s="78">
        <v>3848424</v>
      </c>
      <c r="D364" s="79"/>
    </row>
    <row r="366" spans="1:16" ht="39.6" customHeight="1" x14ac:dyDescent="0.3">
      <c r="A366" s="74" t="s">
        <v>0</v>
      </c>
      <c r="B366" s="85" t="s">
        <v>112</v>
      </c>
      <c r="C366" s="93" t="s">
        <v>2</v>
      </c>
      <c r="D366" s="82"/>
      <c r="E366" s="90" t="s">
        <v>3</v>
      </c>
      <c r="F366" s="81" t="s">
        <v>4</v>
      </c>
      <c r="G366" s="82"/>
      <c r="H366" s="81" t="s">
        <v>5</v>
      </c>
      <c r="I366" s="82"/>
      <c r="J366" s="83" t="s">
        <v>6</v>
      </c>
      <c r="K366" s="82"/>
      <c r="L366" s="61" t="s">
        <v>129</v>
      </c>
      <c r="M366" s="62" t="s">
        <v>130</v>
      </c>
      <c r="N366" s="61" t="s">
        <v>131</v>
      </c>
      <c r="O366" s="62" t="s">
        <v>132</v>
      </c>
      <c r="P366" s="18" t="s">
        <v>122</v>
      </c>
    </row>
    <row r="367" spans="1:16" ht="27.6" x14ac:dyDescent="0.3">
      <c r="A367" s="75"/>
      <c r="B367" s="86"/>
      <c r="C367" s="39">
        <v>46204</v>
      </c>
      <c r="D367" s="44" t="s">
        <v>7</v>
      </c>
      <c r="E367" s="75"/>
      <c r="F367" s="40">
        <v>46235</v>
      </c>
      <c r="G367" s="49" t="s">
        <v>7</v>
      </c>
      <c r="H367" s="40">
        <v>46235</v>
      </c>
      <c r="I367" s="49" t="s">
        <v>7</v>
      </c>
      <c r="J367" s="41">
        <v>46266</v>
      </c>
      <c r="K367" s="55" t="s">
        <v>7</v>
      </c>
      <c r="L367" s="116">
        <f>F367</f>
        <v>46235</v>
      </c>
      <c r="M367" s="117"/>
      <c r="N367" s="116">
        <f>F367</f>
        <v>46235</v>
      </c>
      <c r="O367" s="117"/>
      <c r="P367" s="18"/>
    </row>
    <row r="368" spans="1:16" ht="15.6" x14ac:dyDescent="0.3">
      <c r="A368" s="14" t="s">
        <v>8</v>
      </c>
      <c r="B368" s="15" t="s">
        <v>124</v>
      </c>
      <c r="C368" s="66">
        <f>C369+C370</f>
        <v>0</v>
      </c>
      <c r="D368" s="45"/>
      <c r="E368" s="66">
        <f>E369+E370</f>
        <v>0</v>
      </c>
      <c r="F368" s="67">
        <f>F369+F370</f>
        <v>0</v>
      </c>
      <c r="G368" s="50"/>
      <c r="H368" s="67">
        <f>H369+H370</f>
        <v>0</v>
      </c>
      <c r="I368" s="52"/>
      <c r="J368" s="23">
        <f>J369+J370</f>
        <v>0</v>
      </c>
      <c r="K368" s="56"/>
      <c r="L368" s="63">
        <f>H368-F368</f>
        <v>0</v>
      </c>
      <c r="M368" s="64">
        <f>IFERROR(L368/F368,0)</f>
        <v>0</v>
      </c>
      <c r="N368" s="63">
        <f>H368-C368</f>
        <v>0</v>
      </c>
      <c r="O368" s="64">
        <f>IFERROR(N368/C368,0)</f>
        <v>0</v>
      </c>
      <c r="P368" s="19"/>
    </row>
    <row r="369" spans="1:16" ht="15.6" x14ac:dyDescent="0.3">
      <c r="A369" s="2" t="s">
        <v>9</v>
      </c>
      <c r="B369" s="6" t="s">
        <v>10</v>
      </c>
      <c r="C369" s="24"/>
      <c r="D369" s="46"/>
      <c r="E369" s="24"/>
      <c r="F369" s="25"/>
      <c r="G369" s="51"/>
      <c r="H369" s="26"/>
      <c r="I369" s="51"/>
      <c r="J369" s="27"/>
      <c r="K369" s="57"/>
      <c r="L369" s="63">
        <f t="shared" ref="L369:L412" si="101">H369-F369</f>
        <v>0</v>
      </c>
      <c r="M369" s="64">
        <f t="shared" ref="M369:M412" si="102">IFERROR(L369/F369,0)</f>
        <v>0</v>
      </c>
      <c r="N369" s="63">
        <f t="shared" ref="N369:N412" si="103">H369-C369</f>
        <v>0</v>
      </c>
      <c r="O369" s="64">
        <f t="shared" ref="O369:O412" si="104">IFERROR(N369/C369,0)</f>
        <v>0</v>
      </c>
      <c r="P369" s="19"/>
    </row>
    <row r="370" spans="1:16" ht="15.6" x14ac:dyDescent="0.3">
      <c r="A370" s="2" t="s">
        <v>11</v>
      </c>
      <c r="B370" s="6" t="s">
        <v>12</v>
      </c>
      <c r="C370" s="24"/>
      <c r="D370" s="46"/>
      <c r="E370" s="24"/>
      <c r="F370" s="25"/>
      <c r="G370" s="51"/>
      <c r="H370" s="25"/>
      <c r="I370" s="51"/>
      <c r="J370" s="27"/>
      <c r="K370" s="57"/>
      <c r="L370" s="63">
        <f t="shared" si="101"/>
        <v>0</v>
      </c>
      <c r="M370" s="64">
        <f t="shared" si="102"/>
        <v>0</v>
      </c>
      <c r="N370" s="63">
        <f t="shared" si="103"/>
        <v>0</v>
      </c>
      <c r="O370" s="64">
        <f t="shared" si="104"/>
        <v>0</v>
      </c>
      <c r="P370" s="65"/>
    </row>
    <row r="371" spans="1:16" ht="15.6" x14ac:dyDescent="0.3">
      <c r="A371" s="14" t="s">
        <v>13</v>
      </c>
      <c r="B371" s="22" t="s">
        <v>14</v>
      </c>
      <c r="C371" s="66">
        <f>C375+C376+C377+C386+C387+C388+C372</f>
        <v>0</v>
      </c>
      <c r="D371" s="45"/>
      <c r="E371" s="66">
        <f>E375+E376+E377+E386+E387+E388+E372</f>
        <v>0</v>
      </c>
      <c r="F371" s="67">
        <f>F375+F376+F377+F386+F387+F388+F372</f>
        <v>0</v>
      </c>
      <c r="G371" s="52"/>
      <c r="H371" s="67">
        <f>H375+H376+H377+H386+H387+H388+H372</f>
        <v>0</v>
      </c>
      <c r="I371" s="52"/>
      <c r="J371" s="23">
        <f>J375+J376+J377+J386+J387+J388+J372</f>
        <v>0</v>
      </c>
      <c r="K371" s="58"/>
      <c r="L371" s="63">
        <f t="shared" si="101"/>
        <v>0</v>
      </c>
      <c r="M371" s="64">
        <f t="shared" si="102"/>
        <v>0</v>
      </c>
      <c r="N371" s="63">
        <f t="shared" si="103"/>
        <v>0</v>
      </c>
      <c r="O371" s="64">
        <f t="shared" si="104"/>
        <v>0</v>
      </c>
      <c r="P371" s="18"/>
    </row>
    <row r="372" spans="1:16" ht="15.6" x14ac:dyDescent="0.3">
      <c r="A372" s="17" t="s">
        <v>15</v>
      </c>
      <c r="B372" s="7" t="s">
        <v>16</v>
      </c>
      <c r="C372" s="24">
        <f>C373+C374</f>
        <v>0</v>
      </c>
      <c r="D372" s="46">
        <f>IFERROR(C372/$C$371,0)</f>
        <v>0</v>
      </c>
      <c r="E372" s="24">
        <f>E374+E373</f>
        <v>0</v>
      </c>
      <c r="F372" s="25">
        <f>F374+F373</f>
        <v>0</v>
      </c>
      <c r="G372" s="51">
        <f>IFERROR(F372/$F$371,0)</f>
        <v>0</v>
      </c>
      <c r="H372" s="25">
        <f>H373+H374</f>
        <v>0</v>
      </c>
      <c r="I372" s="51">
        <f>IFERROR(H372/$H$371,0)</f>
        <v>0</v>
      </c>
      <c r="J372" s="27">
        <f>J373+J374</f>
        <v>0</v>
      </c>
      <c r="K372" s="59">
        <f>IFERROR(J372/$J$371,0)</f>
        <v>0</v>
      </c>
      <c r="L372" s="63">
        <f t="shared" si="101"/>
        <v>0</v>
      </c>
      <c r="M372" s="64">
        <f t="shared" si="102"/>
        <v>0</v>
      </c>
      <c r="N372" s="63">
        <f t="shared" si="103"/>
        <v>0</v>
      </c>
      <c r="O372" s="64">
        <f t="shared" si="104"/>
        <v>0</v>
      </c>
      <c r="P372" s="18"/>
    </row>
    <row r="373" spans="1:16" ht="15.6" x14ac:dyDescent="0.3">
      <c r="A373" s="2" t="s">
        <v>17</v>
      </c>
      <c r="B373" s="8" t="s">
        <v>18</v>
      </c>
      <c r="C373" s="24"/>
      <c r="D373" s="46">
        <f t="shared" ref="D373:D411" si="105">IFERROR(C373/$C$371,0)</f>
        <v>0</v>
      </c>
      <c r="E373" s="24"/>
      <c r="F373" s="25"/>
      <c r="G373" s="51">
        <f t="shared" ref="G373:G411" si="106">IFERROR(F373/$F$371,0)</f>
        <v>0</v>
      </c>
      <c r="H373" s="25"/>
      <c r="I373" s="51">
        <f t="shared" ref="I373:I411" si="107">IFERROR(H373/$H$371,0)</f>
        <v>0</v>
      </c>
      <c r="J373" s="27"/>
      <c r="K373" s="59">
        <f t="shared" ref="K373:K411" si="108">IFERROR(J373/$J$371,0)</f>
        <v>0</v>
      </c>
      <c r="L373" s="63">
        <f t="shared" si="101"/>
        <v>0</v>
      </c>
      <c r="M373" s="64">
        <f t="shared" si="102"/>
        <v>0</v>
      </c>
      <c r="N373" s="63">
        <f t="shared" si="103"/>
        <v>0</v>
      </c>
      <c r="O373" s="64">
        <f t="shared" si="104"/>
        <v>0</v>
      </c>
      <c r="P373" s="18"/>
    </row>
    <row r="374" spans="1:16" ht="15.6" x14ac:dyDescent="0.3">
      <c r="A374" s="18" t="s">
        <v>19</v>
      </c>
      <c r="B374" s="8" t="s">
        <v>20</v>
      </c>
      <c r="C374" s="24"/>
      <c r="D374" s="46">
        <f t="shared" si="105"/>
        <v>0</v>
      </c>
      <c r="E374" s="24"/>
      <c r="F374" s="25"/>
      <c r="G374" s="51">
        <f t="shared" si="106"/>
        <v>0</v>
      </c>
      <c r="H374" s="25"/>
      <c r="I374" s="51">
        <f t="shared" si="107"/>
        <v>0</v>
      </c>
      <c r="J374" s="27"/>
      <c r="K374" s="59">
        <f t="shared" si="108"/>
        <v>0</v>
      </c>
      <c r="L374" s="63">
        <f t="shared" si="101"/>
        <v>0</v>
      </c>
      <c r="M374" s="64">
        <f t="shared" si="102"/>
        <v>0</v>
      </c>
      <c r="N374" s="63">
        <f t="shared" si="103"/>
        <v>0</v>
      </c>
      <c r="O374" s="64">
        <f t="shared" si="104"/>
        <v>0</v>
      </c>
      <c r="P374" s="18"/>
    </row>
    <row r="375" spans="1:16" ht="15.6" x14ac:dyDescent="0.3">
      <c r="A375" s="2" t="s">
        <v>21</v>
      </c>
      <c r="B375" s="7" t="s">
        <v>22</v>
      </c>
      <c r="C375" s="24"/>
      <c r="D375" s="46">
        <f t="shared" si="105"/>
        <v>0</v>
      </c>
      <c r="E375" s="24"/>
      <c r="F375" s="25"/>
      <c r="G375" s="51">
        <f t="shared" si="106"/>
        <v>0</v>
      </c>
      <c r="H375" s="25"/>
      <c r="I375" s="51">
        <f t="shared" si="107"/>
        <v>0</v>
      </c>
      <c r="J375" s="27"/>
      <c r="K375" s="59">
        <f t="shared" si="108"/>
        <v>0</v>
      </c>
      <c r="L375" s="63">
        <f t="shared" si="101"/>
        <v>0</v>
      </c>
      <c r="M375" s="64">
        <f t="shared" si="102"/>
        <v>0</v>
      </c>
      <c r="N375" s="63">
        <f t="shared" si="103"/>
        <v>0</v>
      </c>
      <c r="O375" s="64">
        <f t="shared" si="104"/>
        <v>0</v>
      </c>
      <c r="P375" s="18"/>
    </row>
    <row r="376" spans="1:16" ht="15.6" x14ac:dyDescent="0.3">
      <c r="A376" s="2" t="s">
        <v>23</v>
      </c>
      <c r="B376" s="7" t="s">
        <v>24</v>
      </c>
      <c r="C376" s="24"/>
      <c r="D376" s="46">
        <f t="shared" si="105"/>
        <v>0</v>
      </c>
      <c r="E376" s="24"/>
      <c r="F376" s="25"/>
      <c r="G376" s="51">
        <f t="shared" si="106"/>
        <v>0</v>
      </c>
      <c r="H376" s="25"/>
      <c r="I376" s="51">
        <f t="shared" si="107"/>
        <v>0</v>
      </c>
      <c r="J376" s="27"/>
      <c r="K376" s="59">
        <f t="shared" si="108"/>
        <v>0</v>
      </c>
      <c r="L376" s="63">
        <f t="shared" si="101"/>
        <v>0</v>
      </c>
      <c r="M376" s="64">
        <f t="shared" si="102"/>
        <v>0</v>
      </c>
      <c r="N376" s="63">
        <f t="shared" si="103"/>
        <v>0</v>
      </c>
      <c r="O376" s="64">
        <f t="shared" si="104"/>
        <v>0</v>
      </c>
      <c r="P376" s="18"/>
    </row>
    <row r="377" spans="1:16" ht="15.6" x14ac:dyDescent="0.3">
      <c r="A377" s="2" t="s">
        <v>25</v>
      </c>
      <c r="B377" s="7" t="s">
        <v>26</v>
      </c>
      <c r="C377" s="24">
        <f>SUM(C378:C385)</f>
        <v>0</v>
      </c>
      <c r="D377" s="46">
        <f t="shared" si="105"/>
        <v>0</v>
      </c>
      <c r="E377" s="24">
        <f>SUM(E378:E385)</f>
        <v>0</v>
      </c>
      <c r="F377" s="25">
        <f>SUM(F378:F385)</f>
        <v>0</v>
      </c>
      <c r="G377" s="51">
        <f t="shared" si="106"/>
        <v>0</v>
      </c>
      <c r="H377" s="25">
        <f>SUM(H378:H385)</f>
        <v>0</v>
      </c>
      <c r="I377" s="51">
        <f t="shared" si="107"/>
        <v>0</v>
      </c>
      <c r="J377" s="27">
        <f>SUM(J378:J385)</f>
        <v>0</v>
      </c>
      <c r="K377" s="59">
        <f t="shared" si="108"/>
        <v>0</v>
      </c>
      <c r="L377" s="63">
        <f t="shared" si="101"/>
        <v>0</v>
      </c>
      <c r="M377" s="64">
        <f t="shared" si="102"/>
        <v>0</v>
      </c>
      <c r="N377" s="63">
        <f t="shared" si="103"/>
        <v>0</v>
      </c>
      <c r="O377" s="64">
        <f t="shared" si="104"/>
        <v>0</v>
      </c>
      <c r="P377" s="18"/>
    </row>
    <row r="378" spans="1:16" ht="15.6" x14ac:dyDescent="0.3">
      <c r="A378" s="2" t="s">
        <v>27</v>
      </c>
      <c r="B378" s="9" t="s">
        <v>28</v>
      </c>
      <c r="C378" s="24"/>
      <c r="D378" s="46">
        <f t="shared" si="105"/>
        <v>0</v>
      </c>
      <c r="E378" s="24"/>
      <c r="F378" s="25"/>
      <c r="G378" s="51">
        <f t="shared" si="106"/>
        <v>0</v>
      </c>
      <c r="H378" s="25"/>
      <c r="I378" s="51">
        <f t="shared" si="107"/>
        <v>0</v>
      </c>
      <c r="J378" s="27"/>
      <c r="K378" s="59">
        <f t="shared" si="108"/>
        <v>0</v>
      </c>
      <c r="L378" s="63">
        <f t="shared" si="101"/>
        <v>0</v>
      </c>
      <c r="M378" s="64">
        <f t="shared" si="102"/>
        <v>0</v>
      </c>
      <c r="N378" s="63">
        <f t="shared" si="103"/>
        <v>0</v>
      </c>
      <c r="O378" s="64">
        <f t="shared" si="104"/>
        <v>0</v>
      </c>
      <c r="P378" s="18"/>
    </row>
    <row r="379" spans="1:16" ht="15.6" x14ac:dyDescent="0.3">
      <c r="A379" s="2" t="s">
        <v>29</v>
      </c>
      <c r="B379" s="9" t="s">
        <v>30</v>
      </c>
      <c r="C379" s="24"/>
      <c r="D379" s="46">
        <f t="shared" si="105"/>
        <v>0</v>
      </c>
      <c r="E379" s="24"/>
      <c r="F379" s="25"/>
      <c r="G379" s="51">
        <f t="shared" si="106"/>
        <v>0</v>
      </c>
      <c r="H379" s="25"/>
      <c r="I379" s="51">
        <f t="shared" si="107"/>
        <v>0</v>
      </c>
      <c r="J379" s="27"/>
      <c r="K379" s="59">
        <f t="shared" si="108"/>
        <v>0</v>
      </c>
      <c r="L379" s="63">
        <f t="shared" si="101"/>
        <v>0</v>
      </c>
      <c r="M379" s="64">
        <f t="shared" si="102"/>
        <v>0</v>
      </c>
      <c r="N379" s="63">
        <f t="shared" si="103"/>
        <v>0</v>
      </c>
      <c r="O379" s="64">
        <f t="shared" si="104"/>
        <v>0</v>
      </c>
      <c r="P379" s="18"/>
    </row>
    <row r="380" spans="1:16" ht="15.6" x14ac:dyDescent="0.3">
      <c r="A380" s="2" t="s">
        <v>31</v>
      </c>
      <c r="B380" s="9" t="s">
        <v>32</v>
      </c>
      <c r="C380" s="24"/>
      <c r="D380" s="46">
        <f t="shared" si="105"/>
        <v>0</v>
      </c>
      <c r="E380" s="24"/>
      <c r="F380" s="25"/>
      <c r="G380" s="51">
        <f t="shared" si="106"/>
        <v>0</v>
      </c>
      <c r="H380" s="25"/>
      <c r="I380" s="51">
        <f t="shared" si="107"/>
        <v>0</v>
      </c>
      <c r="J380" s="27"/>
      <c r="K380" s="59">
        <f t="shared" si="108"/>
        <v>0</v>
      </c>
      <c r="L380" s="63">
        <f t="shared" si="101"/>
        <v>0</v>
      </c>
      <c r="M380" s="64">
        <f t="shared" si="102"/>
        <v>0</v>
      </c>
      <c r="N380" s="63">
        <f t="shared" si="103"/>
        <v>0</v>
      </c>
      <c r="O380" s="64">
        <f t="shared" si="104"/>
        <v>0</v>
      </c>
      <c r="P380" s="18"/>
    </row>
    <row r="381" spans="1:16" ht="15.6" x14ac:dyDescent="0.3">
      <c r="A381" s="2" t="s">
        <v>33</v>
      </c>
      <c r="B381" s="9" t="s">
        <v>34</v>
      </c>
      <c r="C381" s="24"/>
      <c r="D381" s="46">
        <f t="shared" si="105"/>
        <v>0</v>
      </c>
      <c r="E381" s="24"/>
      <c r="F381" s="25"/>
      <c r="G381" s="51">
        <f t="shared" si="106"/>
        <v>0</v>
      </c>
      <c r="H381" s="25"/>
      <c r="I381" s="51">
        <f t="shared" si="107"/>
        <v>0</v>
      </c>
      <c r="J381" s="27"/>
      <c r="K381" s="59">
        <f t="shared" si="108"/>
        <v>0</v>
      </c>
      <c r="L381" s="63">
        <f t="shared" si="101"/>
        <v>0</v>
      </c>
      <c r="M381" s="64">
        <f t="shared" si="102"/>
        <v>0</v>
      </c>
      <c r="N381" s="63">
        <f t="shared" si="103"/>
        <v>0</v>
      </c>
      <c r="O381" s="64">
        <f t="shared" si="104"/>
        <v>0</v>
      </c>
      <c r="P381" s="18"/>
    </row>
    <row r="382" spans="1:16" ht="15.6" x14ac:dyDescent="0.3">
      <c r="A382" s="2" t="s">
        <v>35</v>
      </c>
      <c r="B382" s="9" t="s">
        <v>36</v>
      </c>
      <c r="C382" s="24"/>
      <c r="D382" s="46">
        <f t="shared" si="105"/>
        <v>0</v>
      </c>
      <c r="E382" s="24"/>
      <c r="F382" s="25"/>
      <c r="G382" s="51">
        <f t="shared" si="106"/>
        <v>0</v>
      </c>
      <c r="H382" s="25"/>
      <c r="I382" s="51">
        <f t="shared" si="107"/>
        <v>0</v>
      </c>
      <c r="J382" s="27"/>
      <c r="K382" s="59">
        <f t="shared" si="108"/>
        <v>0</v>
      </c>
      <c r="L382" s="63">
        <f t="shared" si="101"/>
        <v>0</v>
      </c>
      <c r="M382" s="64">
        <f t="shared" si="102"/>
        <v>0</v>
      </c>
      <c r="N382" s="63">
        <f t="shared" si="103"/>
        <v>0</v>
      </c>
      <c r="O382" s="64">
        <f t="shared" si="104"/>
        <v>0</v>
      </c>
      <c r="P382" s="18"/>
    </row>
    <row r="383" spans="1:16" ht="27.6" x14ac:dyDescent="0.3">
      <c r="A383" s="2" t="s">
        <v>37</v>
      </c>
      <c r="B383" s="9" t="s">
        <v>38</v>
      </c>
      <c r="C383" s="24"/>
      <c r="D383" s="46">
        <f t="shared" si="105"/>
        <v>0</v>
      </c>
      <c r="E383" s="24"/>
      <c r="F383" s="25"/>
      <c r="G383" s="51">
        <f t="shared" si="106"/>
        <v>0</v>
      </c>
      <c r="H383" s="25"/>
      <c r="I383" s="51">
        <f t="shared" si="107"/>
        <v>0</v>
      </c>
      <c r="J383" s="27"/>
      <c r="K383" s="59">
        <f t="shared" si="108"/>
        <v>0</v>
      </c>
      <c r="L383" s="63">
        <f t="shared" si="101"/>
        <v>0</v>
      </c>
      <c r="M383" s="64">
        <f t="shared" si="102"/>
        <v>0</v>
      </c>
      <c r="N383" s="63">
        <f t="shared" si="103"/>
        <v>0</v>
      </c>
      <c r="O383" s="64">
        <f t="shared" si="104"/>
        <v>0</v>
      </c>
      <c r="P383" s="18"/>
    </row>
    <row r="384" spans="1:16" ht="15.6" x14ac:dyDescent="0.3">
      <c r="A384" s="2" t="s">
        <v>39</v>
      </c>
      <c r="B384" s="9" t="s">
        <v>40</v>
      </c>
      <c r="C384" s="24"/>
      <c r="D384" s="46">
        <f t="shared" si="105"/>
        <v>0</v>
      </c>
      <c r="E384" s="24"/>
      <c r="F384" s="25"/>
      <c r="G384" s="51">
        <f t="shared" si="106"/>
        <v>0</v>
      </c>
      <c r="H384" s="25"/>
      <c r="I384" s="51">
        <f t="shared" si="107"/>
        <v>0</v>
      </c>
      <c r="J384" s="27"/>
      <c r="K384" s="59">
        <f t="shared" si="108"/>
        <v>0</v>
      </c>
      <c r="L384" s="63">
        <f t="shared" si="101"/>
        <v>0</v>
      </c>
      <c r="M384" s="64">
        <f t="shared" si="102"/>
        <v>0</v>
      </c>
      <c r="N384" s="63">
        <f t="shared" si="103"/>
        <v>0</v>
      </c>
      <c r="O384" s="64">
        <f t="shared" si="104"/>
        <v>0</v>
      </c>
      <c r="P384" s="18"/>
    </row>
    <row r="385" spans="1:16" ht="15.6" x14ac:dyDescent="0.3">
      <c r="A385" s="2" t="s">
        <v>41</v>
      </c>
      <c r="B385" s="9" t="s">
        <v>42</v>
      </c>
      <c r="C385" s="24"/>
      <c r="D385" s="46">
        <f t="shared" si="105"/>
        <v>0</v>
      </c>
      <c r="E385" s="24"/>
      <c r="F385" s="25"/>
      <c r="G385" s="51">
        <f t="shared" si="106"/>
        <v>0</v>
      </c>
      <c r="H385" s="25"/>
      <c r="I385" s="51">
        <f t="shared" si="107"/>
        <v>0</v>
      </c>
      <c r="J385" s="27"/>
      <c r="K385" s="59">
        <f t="shared" si="108"/>
        <v>0</v>
      </c>
      <c r="L385" s="63">
        <f t="shared" si="101"/>
        <v>0</v>
      </c>
      <c r="M385" s="64">
        <f t="shared" si="102"/>
        <v>0</v>
      </c>
      <c r="N385" s="63">
        <f t="shared" si="103"/>
        <v>0</v>
      </c>
      <c r="O385" s="64">
        <f t="shared" si="104"/>
        <v>0</v>
      </c>
      <c r="P385" s="18"/>
    </row>
    <row r="386" spans="1:16" ht="15.6" x14ac:dyDescent="0.3">
      <c r="A386" s="2" t="s">
        <v>43</v>
      </c>
      <c r="B386" s="7" t="s">
        <v>44</v>
      </c>
      <c r="C386" s="24"/>
      <c r="D386" s="46">
        <f t="shared" si="105"/>
        <v>0</v>
      </c>
      <c r="E386" s="24"/>
      <c r="F386" s="25"/>
      <c r="G386" s="51">
        <f t="shared" si="106"/>
        <v>0</v>
      </c>
      <c r="H386" s="25"/>
      <c r="I386" s="51">
        <f t="shared" si="107"/>
        <v>0</v>
      </c>
      <c r="J386" s="27"/>
      <c r="K386" s="59">
        <f t="shared" si="108"/>
        <v>0</v>
      </c>
      <c r="L386" s="63">
        <f t="shared" si="101"/>
        <v>0</v>
      </c>
      <c r="M386" s="64">
        <f t="shared" si="102"/>
        <v>0</v>
      </c>
      <c r="N386" s="63">
        <f t="shared" si="103"/>
        <v>0</v>
      </c>
      <c r="O386" s="64">
        <f t="shared" si="104"/>
        <v>0</v>
      </c>
      <c r="P386" s="18"/>
    </row>
    <row r="387" spans="1:16" ht="15.6" x14ac:dyDescent="0.3">
      <c r="A387" s="2" t="s">
        <v>45</v>
      </c>
      <c r="B387" s="7" t="s">
        <v>46</v>
      </c>
      <c r="C387" s="24"/>
      <c r="D387" s="46">
        <f t="shared" si="105"/>
        <v>0</v>
      </c>
      <c r="E387" s="24"/>
      <c r="F387" s="25"/>
      <c r="G387" s="51">
        <f t="shared" si="106"/>
        <v>0</v>
      </c>
      <c r="H387" s="25"/>
      <c r="I387" s="51">
        <f t="shared" si="107"/>
        <v>0</v>
      </c>
      <c r="J387" s="27"/>
      <c r="K387" s="59">
        <f t="shared" si="108"/>
        <v>0</v>
      </c>
      <c r="L387" s="63">
        <f t="shared" si="101"/>
        <v>0</v>
      </c>
      <c r="M387" s="64">
        <f t="shared" si="102"/>
        <v>0</v>
      </c>
      <c r="N387" s="63">
        <f t="shared" si="103"/>
        <v>0</v>
      </c>
      <c r="O387" s="64">
        <f t="shared" si="104"/>
        <v>0</v>
      </c>
      <c r="P387" s="18"/>
    </row>
    <row r="388" spans="1:16" s="16" customFormat="1" ht="15.6" x14ac:dyDescent="0.3">
      <c r="A388" s="14" t="s">
        <v>47</v>
      </c>
      <c r="B388" s="22" t="s">
        <v>48</v>
      </c>
      <c r="C388" s="66">
        <f>SUM(C389:C411)</f>
        <v>0</v>
      </c>
      <c r="D388" s="46">
        <f t="shared" si="105"/>
        <v>0</v>
      </c>
      <c r="E388" s="66">
        <f>SUM(E389:E411)</f>
        <v>0</v>
      </c>
      <c r="F388" s="67">
        <f>SUM(F389:F411)</f>
        <v>0</v>
      </c>
      <c r="G388" s="51">
        <f t="shared" si="106"/>
        <v>0</v>
      </c>
      <c r="H388" s="67">
        <f>SUM(H389:H411)</f>
        <v>0</v>
      </c>
      <c r="I388" s="51">
        <f t="shared" si="107"/>
        <v>0</v>
      </c>
      <c r="J388" s="23">
        <f>SUM(J389:J411)</f>
        <v>0</v>
      </c>
      <c r="K388" s="59">
        <f t="shared" si="108"/>
        <v>0</v>
      </c>
      <c r="L388" s="63">
        <f t="shared" si="101"/>
        <v>0</v>
      </c>
      <c r="M388" s="64">
        <f t="shared" si="102"/>
        <v>0</v>
      </c>
      <c r="N388" s="63">
        <f t="shared" si="103"/>
        <v>0</v>
      </c>
      <c r="O388" s="64">
        <f t="shared" si="104"/>
        <v>0</v>
      </c>
      <c r="P388" s="18"/>
    </row>
    <row r="389" spans="1:16" ht="15.6" x14ac:dyDescent="0.3">
      <c r="A389" s="2" t="s">
        <v>49</v>
      </c>
      <c r="B389" s="10" t="s">
        <v>50</v>
      </c>
      <c r="C389" s="29"/>
      <c r="D389" s="46">
        <f t="shared" si="105"/>
        <v>0</v>
      </c>
      <c r="E389" s="24"/>
      <c r="F389" s="25"/>
      <c r="G389" s="51">
        <f t="shared" si="106"/>
        <v>0</v>
      </c>
      <c r="H389" s="25"/>
      <c r="I389" s="51">
        <f t="shared" si="107"/>
        <v>0</v>
      </c>
      <c r="J389" s="27"/>
      <c r="K389" s="59">
        <f t="shared" si="108"/>
        <v>0</v>
      </c>
      <c r="L389" s="63">
        <f t="shared" si="101"/>
        <v>0</v>
      </c>
      <c r="M389" s="64">
        <f t="shared" si="102"/>
        <v>0</v>
      </c>
      <c r="N389" s="63">
        <f t="shared" si="103"/>
        <v>0</v>
      </c>
      <c r="O389" s="64">
        <f t="shared" si="104"/>
        <v>0</v>
      </c>
      <c r="P389" s="18"/>
    </row>
    <row r="390" spans="1:16" ht="15.6" x14ac:dyDescent="0.3">
      <c r="A390" s="2" t="s">
        <v>51</v>
      </c>
      <c r="B390" s="10" t="s">
        <v>52</v>
      </c>
      <c r="C390" s="24"/>
      <c r="D390" s="46">
        <f t="shared" si="105"/>
        <v>0</v>
      </c>
      <c r="E390" s="24"/>
      <c r="F390" s="25"/>
      <c r="G390" s="51">
        <f t="shared" si="106"/>
        <v>0</v>
      </c>
      <c r="H390" s="25"/>
      <c r="I390" s="51">
        <f t="shared" si="107"/>
        <v>0</v>
      </c>
      <c r="J390" s="27"/>
      <c r="K390" s="59">
        <f t="shared" si="108"/>
        <v>0</v>
      </c>
      <c r="L390" s="63">
        <f t="shared" si="101"/>
        <v>0</v>
      </c>
      <c r="M390" s="64">
        <f t="shared" si="102"/>
        <v>0</v>
      </c>
      <c r="N390" s="63">
        <f t="shared" si="103"/>
        <v>0</v>
      </c>
      <c r="O390" s="64">
        <f t="shared" si="104"/>
        <v>0</v>
      </c>
      <c r="P390" s="18"/>
    </row>
    <row r="391" spans="1:16" ht="15.6" x14ac:dyDescent="0.3">
      <c r="A391" s="2" t="s">
        <v>53</v>
      </c>
      <c r="B391" s="10" t="s">
        <v>54</v>
      </c>
      <c r="C391" s="24"/>
      <c r="D391" s="46">
        <f t="shared" si="105"/>
        <v>0</v>
      </c>
      <c r="E391" s="24"/>
      <c r="F391" s="25"/>
      <c r="G391" s="51">
        <f t="shared" si="106"/>
        <v>0</v>
      </c>
      <c r="H391" s="25"/>
      <c r="I391" s="51">
        <f t="shared" si="107"/>
        <v>0</v>
      </c>
      <c r="J391" s="27"/>
      <c r="K391" s="59">
        <f t="shared" si="108"/>
        <v>0</v>
      </c>
      <c r="L391" s="63">
        <f t="shared" si="101"/>
        <v>0</v>
      </c>
      <c r="M391" s="64">
        <f t="shared" si="102"/>
        <v>0</v>
      </c>
      <c r="N391" s="63">
        <f t="shared" si="103"/>
        <v>0</v>
      </c>
      <c r="O391" s="64">
        <f t="shared" si="104"/>
        <v>0</v>
      </c>
      <c r="P391" s="18"/>
    </row>
    <row r="392" spans="1:16" ht="15.6" x14ac:dyDescent="0.3">
      <c r="A392" s="2" t="s">
        <v>55</v>
      </c>
      <c r="B392" s="10" t="s">
        <v>56</v>
      </c>
      <c r="C392" s="24"/>
      <c r="D392" s="46">
        <f t="shared" si="105"/>
        <v>0</v>
      </c>
      <c r="E392" s="24"/>
      <c r="F392" s="25"/>
      <c r="G392" s="51">
        <f t="shared" si="106"/>
        <v>0</v>
      </c>
      <c r="H392" s="25"/>
      <c r="I392" s="51">
        <f t="shared" si="107"/>
        <v>0</v>
      </c>
      <c r="J392" s="27"/>
      <c r="K392" s="59">
        <f t="shared" si="108"/>
        <v>0</v>
      </c>
      <c r="L392" s="63">
        <f t="shared" si="101"/>
        <v>0</v>
      </c>
      <c r="M392" s="64">
        <f t="shared" si="102"/>
        <v>0</v>
      </c>
      <c r="N392" s="63">
        <f t="shared" si="103"/>
        <v>0</v>
      </c>
      <c r="O392" s="64">
        <f t="shared" si="104"/>
        <v>0</v>
      </c>
      <c r="P392" s="18"/>
    </row>
    <row r="393" spans="1:16" ht="15.6" x14ac:dyDescent="0.3">
      <c r="A393" s="2" t="s">
        <v>57</v>
      </c>
      <c r="B393" s="10" t="s">
        <v>58</v>
      </c>
      <c r="C393" s="29"/>
      <c r="D393" s="46">
        <f t="shared" si="105"/>
        <v>0</v>
      </c>
      <c r="E393" s="24"/>
      <c r="F393" s="25"/>
      <c r="G393" s="51">
        <f t="shared" si="106"/>
        <v>0</v>
      </c>
      <c r="H393" s="25"/>
      <c r="I393" s="51">
        <f t="shared" si="107"/>
        <v>0</v>
      </c>
      <c r="J393" s="27"/>
      <c r="K393" s="59">
        <f t="shared" si="108"/>
        <v>0</v>
      </c>
      <c r="L393" s="63">
        <f t="shared" si="101"/>
        <v>0</v>
      </c>
      <c r="M393" s="64">
        <f t="shared" si="102"/>
        <v>0</v>
      </c>
      <c r="N393" s="63">
        <f t="shared" si="103"/>
        <v>0</v>
      </c>
      <c r="O393" s="64">
        <f t="shared" si="104"/>
        <v>0</v>
      </c>
      <c r="P393" s="18"/>
    </row>
    <row r="394" spans="1:16" ht="15.6" x14ac:dyDescent="0.3">
      <c r="A394" s="2" t="s">
        <v>59</v>
      </c>
      <c r="B394" s="10" t="s">
        <v>60</v>
      </c>
      <c r="C394" s="24"/>
      <c r="D394" s="46">
        <f t="shared" si="105"/>
        <v>0</v>
      </c>
      <c r="E394" s="24"/>
      <c r="F394" s="25"/>
      <c r="G394" s="51">
        <f t="shared" si="106"/>
        <v>0</v>
      </c>
      <c r="H394" s="25"/>
      <c r="I394" s="51">
        <f t="shared" si="107"/>
        <v>0</v>
      </c>
      <c r="J394" s="27"/>
      <c r="K394" s="59">
        <f t="shared" si="108"/>
        <v>0</v>
      </c>
      <c r="L394" s="63">
        <f t="shared" si="101"/>
        <v>0</v>
      </c>
      <c r="M394" s="64">
        <f t="shared" si="102"/>
        <v>0</v>
      </c>
      <c r="N394" s="63">
        <f t="shared" si="103"/>
        <v>0</v>
      </c>
      <c r="O394" s="64">
        <f t="shared" si="104"/>
        <v>0</v>
      </c>
      <c r="P394" s="18"/>
    </row>
    <row r="395" spans="1:16" ht="15.6" x14ac:dyDescent="0.3">
      <c r="A395" s="2" t="s">
        <v>61</v>
      </c>
      <c r="B395" s="10" t="s">
        <v>62</v>
      </c>
      <c r="C395" s="29"/>
      <c r="D395" s="46">
        <f t="shared" si="105"/>
        <v>0</v>
      </c>
      <c r="E395" s="24"/>
      <c r="F395" s="25"/>
      <c r="G395" s="51">
        <f t="shared" si="106"/>
        <v>0</v>
      </c>
      <c r="H395" s="25"/>
      <c r="I395" s="51">
        <f t="shared" si="107"/>
        <v>0</v>
      </c>
      <c r="J395" s="27"/>
      <c r="K395" s="59">
        <f t="shared" si="108"/>
        <v>0</v>
      </c>
      <c r="L395" s="63">
        <f t="shared" si="101"/>
        <v>0</v>
      </c>
      <c r="M395" s="64">
        <f t="shared" si="102"/>
        <v>0</v>
      </c>
      <c r="N395" s="63">
        <f t="shared" si="103"/>
        <v>0</v>
      </c>
      <c r="O395" s="64">
        <f t="shared" si="104"/>
        <v>0</v>
      </c>
      <c r="P395" s="18"/>
    </row>
    <row r="396" spans="1:16" ht="15.6" x14ac:dyDescent="0.3">
      <c r="A396" s="2" t="s">
        <v>63</v>
      </c>
      <c r="B396" s="10" t="s">
        <v>64</v>
      </c>
      <c r="C396" s="24"/>
      <c r="D396" s="46">
        <f t="shared" si="105"/>
        <v>0</v>
      </c>
      <c r="E396" s="24"/>
      <c r="F396" s="25"/>
      <c r="G396" s="51">
        <f t="shared" si="106"/>
        <v>0</v>
      </c>
      <c r="H396" s="25"/>
      <c r="I396" s="51">
        <f t="shared" si="107"/>
        <v>0</v>
      </c>
      <c r="J396" s="27"/>
      <c r="K396" s="59">
        <f t="shared" si="108"/>
        <v>0</v>
      </c>
      <c r="L396" s="63">
        <f t="shared" si="101"/>
        <v>0</v>
      </c>
      <c r="M396" s="64">
        <f t="shared" si="102"/>
        <v>0</v>
      </c>
      <c r="N396" s="63">
        <f t="shared" si="103"/>
        <v>0</v>
      </c>
      <c r="O396" s="64">
        <f t="shared" si="104"/>
        <v>0</v>
      </c>
      <c r="P396" s="18"/>
    </row>
    <row r="397" spans="1:16" ht="15.6" x14ac:dyDescent="0.3">
      <c r="A397" s="2" t="s">
        <v>65</v>
      </c>
      <c r="B397" s="10" t="s">
        <v>66</v>
      </c>
      <c r="C397" s="29"/>
      <c r="D397" s="46">
        <f t="shared" si="105"/>
        <v>0</v>
      </c>
      <c r="E397" s="24"/>
      <c r="F397" s="25"/>
      <c r="G397" s="51">
        <f t="shared" si="106"/>
        <v>0</v>
      </c>
      <c r="H397" s="25"/>
      <c r="I397" s="51">
        <f t="shared" si="107"/>
        <v>0</v>
      </c>
      <c r="J397" s="27"/>
      <c r="K397" s="59">
        <f t="shared" si="108"/>
        <v>0</v>
      </c>
      <c r="L397" s="63">
        <f t="shared" si="101"/>
        <v>0</v>
      </c>
      <c r="M397" s="64">
        <f t="shared" si="102"/>
        <v>0</v>
      </c>
      <c r="N397" s="63">
        <f t="shared" si="103"/>
        <v>0</v>
      </c>
      <c r="O397" s="64">
        <f t="shared" si="104"/>
        <v>0</v>
      </c>
      <c r="P397" s="18"/>
    </row>
    <row r="398" spans="1:16" ht="15.6" x14ac:dyDescent="0.3">
      <c r="A398" s="2" t="s">
        <v>67</v>
      </c>
      <c r="B398" s="10" t="s">
        <v>68</v>
      </c>
      <c r="C398" s="29"/>
      <c r="D398" s="46">
        <f t="shared" si="105"/>
        <v>0</v>
      </c>
      <c r="E398" s="24"/>
      <c r="F398" s="25"/>
      <c r="G398" s="51">
        <f t="shared" si="106"/>
        <v>0</v>
      </c>
      <c r="H398" s="25"/>
      <c r="I398" s="51">
        <f t="shared" si="107"/>
        <v>0</v>
      </c>
      <c r="J398" s="27"/>
      <c r="K398" s="59">
        <f t="shared" si="108"/>
        <v>0</v>
      </c>
      <c r="L398" s="63">
        <f t="shared" si="101"/>
        <v>0</v>
      </c>
      <c r="M398" s="64">
        <f t="shared" si="102"/>
        <v>0</v>
      </c>
      <c r="N398" s="63">
        <f t="shared" si="103"/>
        <v>0</v>
      </c>
      <c r="O398" s="64">
        <f t="shared" si="104"/>
        <v>0</v>
      </c>
      <c r="P398" s="18"/>
    </row>
    <row r="399" spans="1:16" ht="15.6" x14ac:dyDescent="0.3">
      <c r="A399" s="2" t="s">
        <v>69</v>
      </c>
      <c r="B399" s="10" t="s">
        <v>70</v>
      </c>
      <c r="C399" s="29"/>
      <c r="D399" s="46">
        <f t="shared" si="105"/>
        <v>0</v>
      </c>
      <c r="E399" s="24"/>
      <c r="F399" s="25"/>
      <c r="G399" s="51">
        <f t="shared" si="106"/>
        <v>0</v>
      </c>
      <c r="H399" s="25"/>
      <c r="I399" s="51">
        <f t="shared" si="107"/>
        <v>0</v>
      </c>
      <c r="J399" s="27"/>
      <c r="K399" s="59">
        <f t="shared" si="108"/>
        <v>0</v>
      </c>
      <c r="L399" s="63">
        <f t="shared" si="101"/>
        <v>0</v>
      </c>
      <c r="M399" s="64">
        <f t="shared" si="102"/>
        <v>0</v>
      </c>
      <c r="N399" s="63">
        <f t="shared" si="103"/>
        <v>0</v>
      </c>
      <c r="O399" s="64">
        <f t="shared" si="104"/>
        <v>0</v>
      </c>
      <c r="P399" s="18"/>
    </row>
    <row r="400" spans="1:16" ht="15.6" x14ac:dyDescent="0.3">
      <c r="A400" s="31" t="s">
        <v>71</v>
      </c>
      <c r="B400" s="10" t="s">
        <v>72</v>
      </c>
      <c r="C400" s="29"/>
      <c r="D400" s="46">
        <f t="shared" si="105"/>
        <v>0</v>
      </c>
      <c r="E400" s="24"/>
      <c r="F400" s="25"/>
      <c r="G400" s="51">
        <f t="shared" si="106"/>
        <v>0</v>
      </c>
      <c r="H400" s="25"/>
      <c r="I400" s="51">
        <f t="shared" si="107"/>
        <v>0</v>
      </c>
      <c r="J400" s="27"/>
      <c r="K400" s="59">
        <f t="shared" si="108"/>
        <v>0</v>
      </c>
      <c r="L400" s="63">
        <f t="shared" si="101"/>
        <v>0</v>
      </c>
      <c r="M400" s="64">
        <f t="shared" si="102"/>
        <v>0</v>
      </c>
      <c r="N400" s="63">
        <f t="shared" si="103"/>
        <v>0</v>
      </c>
      <c r="O400" s="64">
        <f t="shared" si="104"/>
        <v>0</v>
      </c>
      <c r="P400" s="18"/>
    </row>
    <row r="401" spans="1:16" ht="15.6" x14ac:dyDescent="0.3">
      <c r="A401" s="2" t="s">
        <v>73</v>
      </c>
      <c r="B401" s="10" t="s">
        <v>74</v>
      </c>
      <c r="C401" s="24"/>
      <c r="D401" s="46">
        <f t="shared" si="105"/>
        <v>0</v>
      </c>
      <c r="E401" s="24"/>
      <c r="F401" s="25"/>
      <c r="G401" s="51">
        <f t="shared" si="106"/>
        <v>0</v>
      </c>
      <c r="H401" s="25"/>
      <c r="I401" s="51">
        <f t="shared" si="107"/>
        <v>0</v>
      </c>
      <c r="J401" s="27"/>
      <c r="K401" s="59">
        <f t="shared" si="108"/>
        <v>0</v>
      </c>
      <c r="L401" s="63">
        <f t="shared" si="101"/>
        <v>0</v>
      </c>
      <c r="M401" s="64">
        <f t="shared" si="102"/>
        <v>0</v>
      </c>
      <c r="N401" s="63">
        <f t="shared" si="103"/>
        <v>0</v>
      </c>
      <c r="O401" s="64">
        <f t="shared" si="104"/>
        <v>0</v>
      </c>
      <c r="P401" s="18"/>
    </row>
    <row r="402" spans="1:16" ht="15.6" x14ac:dyDescent="0.3">
      <c r="A402" s="18" t="s">
        <v>75</v>
      </c>
      <c r="B402" s="10" t="s">
        <v>76</v>
      </c>
      <c r="C402" s="29"/>
      <c r="D402" s="46">
        <f t="shared" si="105"/>
        <v>0</v>
      </c>
      <c r="E402" s="24"/>
      <c r="F402" s="25"/>
      <c r="G402" s="51">
        <f t="shared" si="106"/>
        <v>0</v>
      </c>
      <c r="H402" s="25"/>
      <c r="I402" s="51">
        <f t="shared" si="107"/>
        <v>0</v>
      </c>
      <c r="J402" s="27"/>
      <c r="K402" s="59">
        <f t="shared" si="108"/>
        <v>0</v>
      </c>
      <c r="L402" s="63">
        <f t="shared" si="101"/>
        <v>0</v>
      </c>
      <c r="M402" s="64">
        <f t="shared" si="102"/>
        <v>0</v>
      </c>
      <c r="N402" s="63">
        <f t="shared" si="103"/>
        <v>0</v>
      </c>
      <c r="O402" s="64">
        <f t="shared" si="104"/>
        <v>0</v>
      </c>
      <c r="P402" s="18"/>
    </row>
    <row r="403" spans="1:16" ht="15.6" x14ac:dyDescent="0.3">
      <c r="A403" s="2" t="s">
        <v>77</v>
      </c>
      <c r="B403" s="10" t="s">
        <v>78</v>
      </c>
      <c r="C403" s="29"/>
      <c r="D403" s="46">
        <f t="shared" si="105"/>
        <v>0</v>
      </c>
      <c r="E403" s="24"/>
      <c r="F403" s="25"/>
      <c r="G403" s="51">
        <f t="shared" si="106"/>
        <v>0</v>
      </c>
      <c r="H403" s="25"/>
      <c r="I403" s="51">
        <f t="shared" si="107"/>
        <v>0</v>
      </c>
      <c r="J403" s="27"/>
      <c r="K403" s="59">
        <f t="shared" si="108"/>
        <v>0</v>
      </c>
      <c r="L403" s="63">
        <f t="shared" si="101"/>
        <v>0</v>
      </c>
      <c r="M403" s="64">
        <f t="shared" si="102"/>
        <v>0</v>
      </c>
      <c r="N403" s="63">
        <f t="shared" si="103"/>
        <v>0</v>
      </c>
      <c r="O403" s="64">
        <f t="shared" si="104"/>
        <v>0</v>
      </c>
      <c r="P403" s="18"/>
    </row>
    <row r="404" spans="1:16" ht="15.6" x14ac:dyDescent="0.3">
      <c r="A404" s="18" t="s">
        <v>79</v>
      </c>
      <c r="B404" s="10" t="s">
        <v>80</v>
      </c>
      <c r="C404" s="24"/>
      <c r="D404" s="46">
        <f t="shared" si="105"/>
        <v>0</v>
      </c>
      <c r="E404" s="24"/>
      <c r="F404" s="25"/>
      <c r="G404" s="51">
        <f t="shared" si="106"/>
        <v>0</v>
      </c>
      <c r="H404" s="25"/>
      <c r="I404" s="51">
        <f t="shared" si="107"/>
        <v>0</v>
      </c>
      <c r="J404" s="27"/>
      <c r="K404" s="59">
        <f t="shared" si="108"/>
        <v>0</v>
      </c>
      <c r="L404" s="63">
        <f t="shared" si="101"/>
        <v>0</v>
      </c>
      <c r="M404" s="64">
        <f t="shared" si="102"/>
        <v>0</v>
      </c>
      <c r="N404" s="63">
        <f t="shared" si="103"/>
        <v>0</v>
      </c>
      <c r="O404" s="64">
        <f t="shared" si="104"/>
        <v>0</v>
      </c>
      <c r="P404" s="18"/>
    </row>
    <row r="405" spans="1:16" ht="15.6" x14ac:dyDescent="0.3">
      <c r="A405" s="2" t="s">
        <v>81</v>
      </c>
      <c r="B405" s="10" t="s">
        <v>82</v>
      </c>
      <c r="C405" s="24"/>
      <c r="D405" s="46">
        <f t="shared" si="105"/>
        <v>0</v>
      </c>
      <c r="E405" s="24"/>
      <c r="F405" s="25"/>
      <c r="G405" s="51">
        <f t="shared" si="106"/>
        <v>0</v>
      </c>
      <c r="H405" s="25"/>
      <c r="I405" s="51">
        <f t="shared" si="107"/>
        <v>0</v>
      </c>
      <c r="J405" s="27"/>
      <c r="K405" s="59">
        <f t="shared" si="108"/>
        <v>0</v>
      </c>
      <c r="L405" s="63">
        <f t="shared" si="101"/>
        <v>0</v>
      </c>
      <c r="M405" s="64">
        <f t="shared" si="102"/>
        <v>0</v>
      </c>
      <c r="N405" s="63">
        <f t="shared" si="103"/>
        <v>0</v>
      </c>
      <c r="O405" s="64">
        <f t="shared" si="104"/>
        <v>0</v>
      </c>
      <c r="P405" s="18"/>
    </row>
    <row r="406" spans="1:16" ht="15.6" x14ac:dyDescent="0.3">
      <c r="A406" s="2" t="s">
        <v>83</v>
      </c>
      <c r="B406" s="10" t="s">
        <v>84</v>
      </c>
      <c r="C406" s="24"/>
      <c r="D406" s="46">
        <f t="shared" si="105"/>
        <v>0</v>
      </c>
      <c r="E406" s="24"/>
      <c r="F406" s="25"/>
      <c r="G406" s="51">
        <f t="shared" si="106"/>
        <v>0</v>
      </c>
      <c r="H406" s="25"/>
      <c r="I406" s="51">
        <f t="shared" si="107"/>
        <v>0</v>
      </c>
      <c r="J406" s="27"/>
      <c r="K406" s="59">
        <f t="shared" si="108"/>
        <v>0</v>
      </c>
      <c r="L406" s="63">
        <f t="shared" si="101"/>
        <v>0</v>
      </c>
      <c r="M406" s="64">
        <f t="shared" si="102"/>
        <v>0</v>
      </c>
      <c r="N406" s="63">
        <f t="shared" si="103"/>
        <v>0</v>
      </c>
      <c r="O406" s="64">
        <f t="shared" si="104"/>
        <v>0</v>
      </c>
      <c r="P406" s="18"/>
    </row>
    <row r="407" spans="1:16" ht="15.6" x14ac:dyDescent="0.3">
      <c r="A407" s="2" t="s">
        <v>85</v>
      </c>
      <c r="B407" s="10" t="s">
        <v>86</v>
      </c>
      <c r="C407" s="29"/>
      <c r="D407" s="46">
        <f t="shared" si="105"/>
        <v>0</v>
      </c>
      <c r="E407" s="24"/>
      <c r="F407" s="25"/>
      <c r="G407" s="51">
        <f t="shared" si="106"/>
        <v>0</v>
      </c>
      <c r="H407" s="25"/>
      <c r="I407" s="51">
        <f t="shared" si="107"/>
        <v>0</v>
      </c>
      <c r="J407" s="27"/>
      <c r="K407" s="59">
        <f t="shared" si="108"/>
        <v>0</v>
      </c>
      <c r="L407" s="63">
        <f t="shared" si="101"/>
        <v>0</v>
      </c>
      <c r="M407" s="64">
        <f t="shared" si="102"/>
        <v>0</v>
      </c>
      <c r="N407" s="63">
        <f t="shared" si="103"/>
        <v>0</v>
      </c>
      <c r="O407" s="64">
        <f t="shared" si="104"/>
        <v>0</v>
      </c>
      <c r="P407" s="18"/>
    </row>
    <row r="408" spans="1:16" ht="15.6" x14ac:dyDescent="0.3">
      <c r="A408" s="2" t="s">
        <v>87</v>
      </c>
      <c r="B408" s="10" t="s">
        <v>88</v>
      </c>
      <c r="C408" s="29"/>
      <c r="D408" s="46">
        <f t="shared" si="105"/>
        <v>0</v>
      </c>
      <c r="E408" s="24"/>
      <c r="F408" s="25"/>
      <c r="G408" s="51">
        <f t="shared" si="106"/>
        <v>0</v>
      </c>
      <c r="H408" s="25"/>
      <c r="I408" s="51">
        <f t="shared" si="107"/>
        <v>0</v>
      </c>
      <c r="J408" s="27"/>
      <c r="K408" s="59">
        <f t="shared" si="108"/>
        <v>0</v>
      </c>
      <c r="L408" s="63">
        <f t="shared" si="101"/>
        <v>0</v>
      </c>
      <c r="M408" s="64">
        <f t="shared" si="102"/>
        <v>0</v>
      </c>
      <c r="N408" s="63">
        <f t="shared" si="103"/>
        <v>0</v>
      </c>
      <c r="O408" s="64">
        <f t="shared" si="104"/>
        <v>0</v>
      </c>
      <c r="P408" s="18"/>
    </row>
    <row r="409" spans="1:16" ht="15.6" x14ac:dyDescent="0.3">
      <c r="A409" s="2" t="s">
        <v>89</v>
      </c>
      <c r="B409" s="10" t="s">
        <v>90</v>
      </c>
      <c r="C409" s="24"/>
      <c r="D409" s="46">
        <f t="shared" si="105"/>
        <v>0</v>
      </c>
      <c r="E409" s="24"/>
      <c r="F409" s="25"/>
      <c r="G409" s="51">
        <f t="shared" si="106"/>
        <v>0</v>
      </c>
      <c r="H409" s="25"/>
      <c r="I409" s="51">
        <f t="shared" si="107"/>
        <v>0</v>
      </c>
      <c r="J409" s="27"/>
      <c r="K409" s="59">
        <f t="shared" si="108"/>
        <v>0</v>
      </c>
      <c r="L409" s="63">
        <f t="shared" si="101"/>
        <v>0</v>
      </c>
      <c r="M409" s="64">
        <f t="shared" si="102"/>
        <v>0</v>
      </c>
      <c r="N409" s="63">
        <f t="shared" si="103"/>
        <v>0</v>
      </c>
      <c r="O409" s="64">
        <f t="shared" si="104"/>
        <v>0</v>
      </c>
      <c r="P409" s="18"/>
    </row>
    <row r="410" spans="1:16" ht="15.6" x14ac:dyDescent="0.3">
      <c r="A410" s="2" t="s">
        <v>91</v>
      </c>
      <c r="B410" s="10" t="s">
        <v>92</v>
      </c>
      <c r="C410" s="29"/>
      <c r="D410" s="46">
        <f t="shared" si="105"/>
        <v>0</v>
      </c>
      <c r="E410" s="24"/>
      <c r="F410" s="25"/>
      <c r="G410" s="51">
        <f t="shared" si="106"/>
        <v>0</v>
      </c>
      <c r="H410" s="25"/>
      <c r="I410" s="51">
        <f t="shared" si="107"/>
        <v>0</v>
      </c>
      <c r="J410" s="27"/>
      <c r="K410" s="59">
        <f t="shared" si="108"/>
        <v>0</v>
      </c>
      <c r="L410" s="63">
        <f t="shared" si="101"/>
        <v>0</v>
      </c>
      <c r="M410" s="64">
        <f t="shared" si="102"/>
        <v>0</v>
      </c>
      <c r="N410" s="63">
        <f t="shared" si="103"/>
        <v>0</v>
      </c>
      <c r="O410" s="64">
        <f t="shared" si="104"/>
        <v>0</v>
      </c>
      <c r="P410" s="18"/>
    </row>
    <row r="411" spans="1:16" ht="15.6" x14ac:dyDescent="0.3">
      <c r="A411" s="2" t="s">
        <v>93</v>
      </c>
      <c r="B411" s="10" t="s">
        <v>94</v>
      </c>
      <c r="C411" s="29"/>
      <c r="D411" s="46">
        <f t="shared" si="105"/>
        <v>0</v>
      </c>
      <c r="E411" s="24"/>
      <c r="F411" s="25"/>
      <c r="G411" s="51">
        <f t="shared" si="106"/>
        <v>0</v>
      </c>
      <c r="H411" s="25"/>
      <c r="I411" s="51">
        <f t="shared" si="107"/>
        <v>0</v>
      </c>
      <c r="J411" s="27"/>
      <c r="K411" s="59">
        <f t="shared" si="108"/>
        <v>0</v>
      </c>
      <c r="L411" s="63">
        <f t="shared" si="101"/>
        <v>0</v>
      </c>
      <c r="M411" s="64">
        <f t="shared" si="102"/>
        <v>0</v>
      </c>
      <c r="N411" s="63">
        <f t="shared" si="103"/>
        <v>0</v>
      </c>
      <c r="O411" s="64">
        <f t="shared" si="104"/>
        <v>0</v>
      </c>
      <c r="P411" s="18"/>
    </row>
    <row r="412" spans="1:16" ht="15.6" x14ac:dyDescent="0.3">
      <c r="A412" s="21" t="s">
        <v>95</v>
      </c>
      <c r="B412" s="22" t="s">
        <v>96</v>
      </c>
      <c r="C412" s="91">
        <f>C368-C371</f>
        <v>0</v>
      </c>
      <c r="D412" s="82"/>
      <c r="E412" s="66">
        <f>E368-E371</f>
        <v>0</v>
      </c>
      <c r="F412" s="92">
        <f>F368-F371</f>
        <v>0</v>
      </c>
      <c r="G412" s="82"/>
      <c r="H412" s="92">
        <f>H368-H371</f>
        <v>0</v>
      </c>
      <c r="I412" s="82"/>
      <c r="J412" s="89">
        <f>J368-J371</f>
        <v>0</v>
      </c>
      <c r="K412" s="82"/>
      <c r="L412" s="63">
        <f t="shared" si="101"/>
        <v>0</v>
      </c>
      <c r="M412" s="64">
        <f t="shared" si="102"/>
        <v>0</v>
      </c>
      <c r="N412" s="63">
        <f t="shared" si="103"/>
        <v>0</v>
      </c>
      <c r="O412" s="64">
        <f t="shared" si="104"/>
        <v>0</v>
      </c>
      <c r="P412" s="18"/>
    </row>
    <row r="413" spans="1:16" x14ac:dyDescent="0.3">
      <c r="A413" s="30" t="s">
        <v>97</v>
      </c>
      <c r="B413" s="11" t="s">
        <v>98</v>
      </c>
      <c r="C413" s="84">
        <f>IFERROR(C412/C368,0)</f>
        <v>0</v>
      </c>
      <c r="D413" s="77"/>
      <c r="E413" s="47">
        <f>IFERROR(E412/E368,0)</f>
        <v>0</v>
      </c>
      <c r="F413" s="76">
        <f>IFERROR(F412/F368,0)</f>
        <v>0</v>
      </c>
      <c r="G413" s="77"/>
      <c r="H413" s="76">
        <f>IFERROR(H412/H368,0)</f>
        <v>0</v>
      </c>
      <c r="I413" s="77"/>
      <c r="J413" s="80">
        <f>IFERROR(J412/J368,0)</f>
        <v>0</v>
      </c>
      <c r="K413" s="77"/>
    </row>
    <row r="414" spans="1:16" x14ac:dyDescent="0.3">
      <c r="A414" s="30" t="s">
        <v>99</v>
      </c>
      <c r="B414" s="11" t="s">
        <v>100</v>
      </c>
      <c r="C414" s="84">
        <f>IFERROR(C412/C416,0)</f>
        <v>0</v>
      </c>
      <c r="D414" s="77"/>
      <c r="E414" s="47">
        <f>IFERROR(E412/C416,0)</f>
        <v>0</v>
      </c>
      <c r="F414" s="76">
        <f t="shared" ref="F414" si="109">IFERROR(F412/F416,0)</f>
        <v>0</v>
      </c>
      <c r="G414" s="77"/>
      <c r="H414" s="76">
        <f t="shared" ref="H414" si="110">IFERROR(H412/H416,0)</f>
        <v>0</v>
      </c>
      <c r="I414" s="77"/>
      <c r="J414" s="80">
        <f t="shared" ref="J414" si="111">IFERROR(J412/J416,0)</f>
        <v>0</v>
      </c>
      <c r="K414" s="77"/>
    </row>
    <row r="415" spans="1:16" x14ac:dyDescent="0.3">
      <c r="A415" s="33" t="s">
        <v>101</v>
      </c>
      <c r="B415" s="11" t="s">
        <v>102</v>
      </c>
      <c r="C415" s="84">
        <f>IFERROR(C414*12,0)</f>
        <v>0</v>
      </c>
      <c r="D415" s="77"/>
      <c r="E415" s="47">
        <f>IFERROR(E414*12,0)</f>
        <v>0</v>
      </c>
      <c r="F415" s="76">
        <f t="shared" ref="F415" si="112">IFERROR(F414*12,0)</f>
        <v>0</v>
      </c>
      <c r="G415" s="77"/>
      <c r="H415" s="76">
        <f t="shared" ref="H415" si="113">IFERROR(H414*12,0)</f>
        <v>0</v>
      </c>
      <c r="I415" s="77"/>
      <c r="J415" s="80">
        <f t="shared" ref="J415" si="114">IFERROR(J414*12,0)</f>
        <v>0</v>
      </c>
      <c r="K415" s="77"/>
    </row>
    <row r="416" spans="1:16" x14ac:dyDescent="0.3">
      <c r="A416" s="33" t="s">
        <v>103</v>
      </c>
      <c r="B416" s="12" t="s">
        <v>104</v>
      </c>
      <c r="C416" s="78">
        <v>1908926</v>
      </c>
      <c r="D416" s="79"/>
    </row>
    <row r="418" spans="1:16" ht="39.6" customHeight="1" x14ac:dyDescent="0.3">
      <c r="A418" s="74" t="s">
        <v>0</v>
      </c>
      <c r="B418" s="85" t="s">
        <v>113</v>
      </c>
      <c r="C418" s="93" t="s">
        <v>2</v>
      </c>
      <c r="D418" s="82"/>
      <c r="E418" s="90" t="s">
        <v>3</v>
      </c>
      <c r="F418" s="81" t="s">
        <v>4</v>
      </c>
      <c r="G418" s="82"/>
      <c r="H418" s="81" t="s">
        <v>5</v>
      </c>
      <c r="I418" s="82"/>
      <c r="J418" s="83" t="s">
        <v>6</v>
      </c>
      <c r="K418" s="82"/>
      <c r="L418" s="61" t="s">
        <v>129</v>
      </c>
      <c r="M418" s="62" t="s">
        <v>130</v>
      </c>
      <c r="N418" s="61" t="s">
        <v>131</v>
      </c>
      <c r="O418" s="62" t="s">
        <v>132</v>
      </c>
      <c r="P418" s="18" t="s">
        <v>122</v>
      </c>
    </row>
    <row r="419" spans="1:16" ht="27.6" x14ac:dyDescent="0.3">
      <c r="A419" s="75"/>
      <c r="B419" s="86"/>
      <c r="C419" s="39">
        <v>46204</v>
      </c>
      <c r="D419" s="44" t="s">
        <v>7</v>
      </c>
      <c r="E419" s="75"/>
      <c r="F419" s="40">
        <v>46235</v>
      </c>
      <c r="G419" s="49" t="s">
        <v>7</v>
      </c>
      <c r="H419" s="40">
        <v>46235</v>
      </c>
      <c r="I419" s="49" t="s">
        <v>7</v>
      </c>
      <c r="J419" s="41">
        <v>46266</v>
      </c>
      <c r="K419" s="55" t="s">
        <v>7</v>
      </c>
      <c r="L419" s="116">
        <f>F419</f>
        <v>46235</v>
      </c>
      <c r="M419" s="117"/>
      <c r="N419" s="116">
        <f>F419</f>
        <v>46235</v>
      </c>
      <c r="O419" s="117"/>
      <c r="P419" s="18"/>
    </row>
    <row r="420" spans="1:16" ht="15.6" x14ac:dyDescent="0.3">
      <c r="A420" s="14" t="s">
        <v>8</v>
      </c>
      <c r="B420" s="15" t="s">
        <v>124</v>
      </c>
      <c r="C420" s="66">
        <f>C421+C422</f>
        <v>0</v>
      </c>
      <c r="D420" s="45"/>
      <c r="E420" s="66">
        <f>E421+E422</f>
        <v>0</v>
      </c>
      <c r="F420" s="67">
        <f>F421+F422</f>
        <v>0</v>
      </c>
      <c r="G420" s="50"/>
      <c r="H420" s="67">
        <f>H421+H422</f>
        <v>0</v>
      </c>
      <c r="I420" s="52"/>
      <c r="J420" s="23">
        <f>J421+J422</f>
        <v>0</v>
      </c>
      <c r="K420" s="56"/>
      <c r="L420" s="63">
        <f>H420-F420</f>
        <v>0</v>
      </c>
      <c r="M420" s="64">
        <f>IFERROR(L420/F420,0)</f>
        <v>0</v>
      </c>
      <c r="N420" s="63">
        <f>H420-C420</f>
        <v>0</v>
      </c>
      <c r="O420" s="64">
        <f>IFERROR(N420/C420,0)</f>
        <v>0</v>
      </c>
      <c r="P420" s="19"/>
    </row>
    <row r="421" spans="1:16" ht="15.6" x14ac:dyDescent="0.3">
      <c r="A421" s="2" t="s">
        <v>9</v>
      </c>
      <c r="B421" s="6" t="s">
        <v>10</v>
      </c>
      <c r="C421" s="24"/>
      <c r="D421" s="46"/>
      <c r="E421" s="24"/>
      <c r="F421" s="25"/>
      <c r="G421" s="51"/>
      <c r="H421" s="26"/>
      <c r="I421" s="51"/>
      <c r="J421" s="27"/>
      <c r="K421" s="57"/>
      <c r="L421" s="63">
        <f t="shared" ref="L421:L464" si="115">H421-F421</f>
        <v>0</v>
      </c>
      <c r="M421" s="64">
        <f t="shared" ref="M421:M464" si="116">IFERROR(L421/F421,0)</f>
        <v>0</v>
      </c>
      <c r="N421" s="63">
        <f t="shared" ref="N421:N464" si="117">H421-C421</f>
        <v>0</v>
      </c>
      <c r="O421" s="64">
        <f t="shared" ref="O421:O464" si="118">IFERROR(N421/C421,0)</f>
        <v>0</v>
      </c>
      <c r="P421" s="19"/>
    </row>
    <row r="422" spans="1:16" ht="15.6" x14ac:dyDescent="0.3">
      <c r="A422" s="2" t="s">
        <v>11</v>
      </c>
      <c r="B422" s="6" t="s">
        <v>12</v>
      </c>
      <c r="C422" s="24"/>
      <c r="D422" s="46"/>
      <c r="E422" s="24"/>
      <c r="F422" s="25"/>
      <c r="G422" s="51"/>
      <c r="H422" s="25"/>
      <c r="I422" s="51"/>
      <c r="J422" s="27"/>
      <c r="K422" s="57"/>
      <c r="L422" s="63">
        <f t="shared" si="115"/>
        <v>0</v>
      </c>
      <c r="M422" s="64">
        <f t="shared" si="116"/>
        <v>0</v>
      </c>
      <c r="N422" s="63">
        <f t="shared" si="117"/>
        <v>0</v>
      </c>
      <c r="O422" s="64">
        <f t="shared" si="118"/>
        <v>0</v>
      </c>
      <c r="P422" s="65"/>
    </row>
    <row r="423" spans="1:16" ht="15.6" x14ac:dyDescent="0.3">
      <c r="A423" s="14" t="s">
        <v>13</v>
      </c>
      <c r="B423" s="22" t="s">
        <v>14</v>
      </c>
      <c r="C423" s="66">
        <f>C427+C428+C429+C438+C439+C440+C424</f>
        <v>0</v>
      </c>
      <c r="D423" s="45"/>
      <c r="E423" s="66">
        <f>E427+E428+E429+E438+E439+E440+E424</f>
        <v>0</v>
      </c>
      <c r="F423" s="67">
        <f>F427+F428+F429+F438+F439+F440+F424</f>
        <v>0</v>
      </c>
      <c r="G423" s="52"/>
      <c r="H423" s="67">
        <f>H427+H428+H429+H438+H439+H440+H424</f>
        <v>0</v>
      </c>
      <c r="I423" s="52"/>
      <c r="J423" s="23">
        <f>J427+J428+J429+J438+J439+J440+J424</f>
        <v>0</v>
      </c>
      <c r="K423" s="58"/>
      <c r="L423" s="63">
        <f t="shared" si="115"/>
        <v>0</v>
      </c>
      <c r="M423" s="64">
        <f t="shared" si="116"/>
        <v>0</v>
      </c>
      <c r="N423" s="63">
        <f t="shared" si="117"/>
        <v>0</v>
      </c>
      <c r="O423" s="64">
        <f t="shared" si="118"/>
        <v>0</v>
      </c>
      <c r="P423" s="18"/>
    </row>
    <row r="424" spans="1:16" ht="15.6" x14ac:dyDescent="0.3">
      <c r="A424" s="17" t="s">
        <v>15</v>
      </c>
      <c r="B424" s="7" t="s">
        <v>16</v>
      </c>
      <c r="C424" s="24">
        <f>C425+C426</f>
        <v>0</v>
      </c>
      <c r="D424" s="46">
        <f>IFERROR(C424/$C$423,0)</f>
        <v>0</v>
      </c>
      <c r="E424" s="24">
        <f>E426+E425</f>
        <v>0</v>
      </c>
      <c r="F424" s="25">
        <f>F426+F425</f>
        <v>0</v>
      </c>
      <c r="G424" s="51">
        <f>IFERROR(F424/$F$423,0)</f>
        <v>0</v>
      </c>
      <c r="H424" s="25">
        <f>H425+H426</f>
        <v>0</v>
      </c>
      <c r="I424" s="51">
        <f>IFERROR(H424/$H$423,0)</f>
        <v>0</v>
      </c>
      <c r="J424" s="27">
        <f>J425+J426</f>
        <v>0</v>
      </c>
      <c r="K424" s="59">
        <f>IFERROR(J424/$J$423,0)</f>
        <v>0</v>
      </c>
      <c r="L424" s="63">
        <f t="shared" si="115"/>
        <v>0</v>
      </c>
      <c r="M424" s="64">
        <f t="shared" si="116"/>
        <v>0</v>
      </c>
      <c r="N424" s="63">
        <f t="shared" si="117"/>
        <v>0</v>
      </c>
      <c r="O424" s="64">
        <f t="shared" si="118"/>
        <v>0</v>
      </c>
      <c r="P424" s="18"/>
    </row>
    <row r="425" spans="1:16" ht="15.6" x14ac:dyDescent="0.3">
      <c r="A425" s="2" t="s">
        <v>17</v>
      </c>
      <c r="B425" s="8" t="s">
        <v>18</v>
      </c>
      <c r="C425" s="24"/>
      <c r="D425" s="46">
        <f t="shared" ref="D425:D463" si="119">IFERROR(C425/$C$423,0)</f>
        <v>0</v>
      </c>
      <c r="E425" s="24"/>
      <c r="F425" s="25"/>
      <c r="G425" s="51">
        <f t="shared" ref="G425:G463" si="120">IFERROR(F425/$F$423,0)</f>
        <v>0</v>
      </c>
      <c r="H425" s="25"/>
      <c r="I425" s="51">
        <f t="shared" ref="I425:I463" si="121">IFERROR(H425/$H$423,0)</f>
        <v>0</v>
      </c>
      <c r="J425" s="27"/>
      <c r="K425" s="59">
        <f t="shared" ref="K425:K463" si="122">IFERROR(J425/$J$423,0)</f>
        <v>0</v>
      </c>
      <c r="L425" s="63">
        <f t="shared" si="115"/>
        <v>0</v>
      </c>
      <c r="M425" s="64">
        <f t="shared" si="116"/>
        <v>0</v>
      </c>
      <c r="N425" s="63">
        <f t="shared" si="117"/>
        <v>0</v>
      </c>
      <c r="O425" s="64">
        <f t="shared" si="118"/>
        <v>0</v>
      </c>
      <c r="P425" s="18"/>
    </row>
    <row r="426" spans="1:16" ht="15.6" x14ac:dyDescent="0.3">
      <c r="A426" s="18" t="s">
        <v>19</v>
      </c>
      <c r="B426" s="8" t="s">
        <v>20</v>
      </c>
      <c r="C426" s="24"/>
      <c r="D426" s="46">
        <f t="shared" si="119"/>
        <v>0</v>
      </c>
      <c r="E426" s="24"/>
      <c r="F426" s="25"/>
      <c r="G426" s="51">
        <f t="shared" si="120"/>
        <v>0</v>
      </c>
      <c r="H426" s="25"/>
      <c r="I426" s="51">
        <f t="shared" si="121"/>
        <v>0</v>
      </c>
      <c r="J426" s="27"/>
      <c r="K426" s="59">
        <f t="shared" si="122"/>
        <v>0</v>
      </c>
      <c r="L426" s="63">
        <f t="shared" si="115"/>
        <v>0</v>
      </c>
      <c r="M426" s="64">
        <f t="shared" si="116"/>
        <v>0</v>
      </c>
      <c r="N426" s="63">
        <f t="shared" si="117"/>
        <v>0</v>
      </c>
      <c r="O426" s="64">
        <f t="shared" si="118"/>
        <v>0</v>
      </c>
      <c r="P426" s="18"/>
    </row>
    <row r="427" spans="1:16" ht="15.6" x14ac:dyDescent="0.3">
      <c r="A427" s="2" t="s">
        <v>21</v>
      </c>
      <c r="B427" s="7" t="s">
        <v>22</v>
      </c>
      <c r="C427" s="24"/>
      <c r="D427" s="46">
        <f t="shared" si="119"/>
        <v>0</v>
      </c>
      <c r="E427" s="24"/>
      <c r="F427" s="25"/>
      <c r="G427" s="51">
        <f t="shared" si="120"/>
        <v>0</v>
      </c>
      <c r="H427" s="25"/>
      <c r="I427" s="51">
        <f t="shared" si="121"/>
        <v>0</v>
      </c>
      <c r="J427" s="27"/>
      <c r="K427" s="59">
        <f t="shared" si="122"/>
        <v>0</v>
      </c>
      <c r="L427" s="63">
        <f t="shared" si="115"/>
        <v>0</v>
      </c>
      <c r="M427" s="64">
        <f t="shared" si="116"/>
        <v>0</v>
      </c>
      <c r="N427" s="63">
        <f t="shared" si="117"/>
        <v>0</v>
      </c>
      <c r="O427" s="64">
        <f t="shared" si="118"/>
        <v>0</v>
      </c>
      <c r="P427" s="18"/>
    </row>
    <row r="428" spans="1:16" ht="15.6" x14ac:dyDescent="0.3">
      <c r="A428" s="2" t="s">
        <v>23</v>
      </c>
      <c r="B428" s="7" t="s">
        <v>24</v>
      </c>
      <c r="C428" s="24"/>
      <c r="D428" s="46">
        <f t="shared" si="119"/>
        <v>0</v>
      </c>
      <c r="E428" s="24"/>
      <c r="F428" s="25"/>
      <c r="G428" s="51">
        <f t="shared" si="120"/>
        <v>0</v>
      </c>
      <c r="H428" s="25"/>
      <c r="I428" s="51">
        <f t="shared" si="121"/>
        <v>0</v>
      </c>
      <c r="J428" s="27"/>
      <c r="K428" s="59">
        <f t="shared" si="122"/>
        <v>0</v>
      </c>
      <c r="L428" s="63">
        <f t="shared" si="115"/>
        <v>0</v>
      </c>
      <c r="M428" s="64">
        <f t="shared" si="116"/>
        <v>0</v>
      </c>
      <c r="N428" s="63">
        <f t="shared" si="117"/>
        <v>0</v>
      </c>
      <c r="O428" s="64">
        <f t="shared" si="118"/>
        <v>0</v>
      </c>
      <c r="P428" s="18"/>
    </row>
    <row r="429" spans="1:16" ht="15.6" x14ac:dyDescent="0.3">
      <c r="A429" s="2" t="s">
        <v>25</v>
      </c>
      <c r="B429" s="7" t="s">
        <v>26</v>
      </c>
      <c r="C429" s="24">
        <f>SUM(C430:C437)</f>
        <v>0</v>
      </c>
      <c r="D429" s="46">
        <f t="shared" si="119"/>
        <v>0</v>
      </c>
      <c r="E429" s="24">
        <f>SUM(E430:E437)</f>
        <v>0</v>
      </c>
      <c r="F429" s="25">
        <f>SUM(F430:F437)</f>
        <v>0</v>
      </c>
      <c r="G429" s="51">
        <f t="shared" si="120"/>
        <v>0</v>
      </c>
      <c r="H429" s="25">
        <f>SUM(H430:H437)</f>
        <v>0</v>
      </c>
      <c r="I429" s="51">
        <f t="shared" si="121"/>
        <v>0</v>
      </c>
      <c r="J429" s="27">
        <f>SUM(J430:J437)</f>
        <v>0</v>
      </c>
      <c r="K429" s="59">
        <f t="shared" si="122"/>
        <v>0</v>
      </c>
      <c r="L429" s="63">
        <f t="shared" si="115"/>
        <v>0</v>
      </c>
      <c r="M429" s="64">
        <f t="shared" si="116"/>
        <v>0</v>
      </c>
      <c r="N429" s="63">
        <f t="shared" si="117"/>
        <v>0</v>
      </c>
      <c r="O429" s="64">
        <f t="shared" si="118"/>
        <v>0</v>
      </c>
      <c r="P429" s="18"/>
    </row>
    <row r="430" spans="1:16" ht="15.6" x14ac:dyDescent="0.3">
      <c r="A430" s="2" t="s">
        <v>27</v>
      </c>
      <c r="B430" s="9" t="s">
        <v>28</v>
      </c>
      <c r="C430" s="24"/>
      <c r="D430" s="46">
        <f t="shared" si="119"/>
        <v>0</v>
      </c>
      <c r="E430" s="24"/>
      <c r="F430" s="25"/>
      <c r="G430" s="51">
        <f t="shared" si="120"/>
        <v>0</v>
      </c>
      <c r="H430" s="25"/>
      <c r="I430" s="51">
        <f t="shared" si="121"/>
        <v>0</v>
      </c>
      <c r="J430" s="27"/>
      <c r="K430" s="59">
        <f t="shared" si="122"/>
        <v>0</v>
      </c>
      <c r="L430" s="63">
        <f t="shared" si="115"/>
        <v>0</v>
      </c>
      <c r="M430" s="64">
        <f t="shared" si="116"/>
        <v>0</v>
      </c>
      <c r="N430" s="63">
        <f t="shared" si="117"/>
        <v>0</v>
      </c>
      <c r="O430" s="64">
        <f t="shared" si="118"/>
        <v>0</v>
      </c>
      <c r="P430" s="18"/>
    </row>
    <row r="431" spans="1:16" ht="15.6" x14ac:dyDescent="0.3">
      <c r="A431" s="2" t="s">
        <v>29</v>
      </c>
      <c r="B431" s="9" t="s">
        <v>30</v>
      </c>
      <c r="C431" s="24"/>
      <c r="D431" s="46">
        <f t="shared" si="119"/>
        <v>0</v>
      </c>
      <c r="E431" s="24"/>
      <c r="F431" s="25"/>
      <c r="G431" s="51">
        <f t="shared" si="120"/>
        <v>0</v>
      </c>
      <c r="H431" s="25"/>
      <c r="I431" s="51">
        <f t="shared" si="121"/>
        <v>0</v>
      </c>
      <c r="J431" s="27"/>
      <c r="K431" s="59">
        <f t="shared" si="122"/>
        <v>0</v>
      </c>
      <c r="L431" s="63">
        <f t="shared" si="115"/>
        <v>0</v>
      </c>
      <c r="M431" s="64">
        <f t="shared" si="116"/>
        <v>0</v>
      </c>
      <c r="N431" s="63">
        <f t="shared" si="117"/>
        <v>0</v>
      </c>
      <c r="O431" s="64">
        <f t="shared" si="118"/>
        <v>0</v>
      </c>
      <c r="P431" s="18"/>
    </row>
    <row r="432" spans="1:16" ht="15.6" x14ac:dyDescent="0.3">
      <c r="A432" s="2" t="s">
        <v>31</v>
      </c>
      <c r="B432" s="9" t="s">
        <v>32</v>
      </c>
      <c r="C432" s="24"/>
      <c r="D432" s="46">
        <f t="shared" si="119"/>
        <v>0</v>
      </c>
      <c r="E432" s="24"/>
      <c r="F432" s="25"/>
      <c r="G432" s="51">
        <f t="shared" si="120"/>
        <v>0</v>
      </c>
      <c r="H432" s="25"/>
      <c r="I432" s="51">
        <f t="shared" si="121"/>
        <v>0</v>
      </c>
      <c r="J432" s="27"/>
      <c r="K432" s="59">
        <f t="shared" si="122"/>
        <v>0</v>
      </c>
      <c r="L432" s="63">
        <f t="shared" si="115"/>
        <v>0</v>
      </c>
      <c r="M432" s="64">
        <f t="shared" si="116"/>
        <v>0</v>
      </c>
      <c r="N432" s="63">
        <f t="shared" si="117"/>
        <v>0</v>
      </c>
      <c r="O432" s="64">
        <f t="shared" si="118"/>
        <v>0</v>
      </c>
      <c r="P432" s="18"/>
    </row>
    <row r="433" spans="1:16" ht="15.6" x14ac:dyDescent="0.3">
      <c r="A433" s="2" t="s">
        <v>33</v>
      </c>
      <c r="B433" s="9" t="s">
        <v>34</v>
      </c>
      <c r="C433" s="24"/>
      <c r="D433" s="46">
        <f t="shared" si="119"/>
        <v>0</v>
      </c>
      <c r="E433" s="24"/>
      <c r="F433" s="25"/>
      <c r="G433" s="51">
        <f t="shared" si="120"/>
        <v>0</v>
      </c>
      <c r="H433" s="25"/>
      <c r="I433" s="51">
        <f t="shared" si="121"/>
        <v>0</v>
      </c>
      <c r="J433" s="27"/>
      <c r="K433" s="59">
        <f t="shared" si="122"/>
        <v>0</v>
      </c>
      <c r="L433" s="63">
        <f t="shared" si="115"/>
        <v>0</v>
      </c>
      <c r="M433" s="64">
        <f t="shared" si="116"/>
        <v>0</v>
      </c>
      <c r="N433" s="63">
        <f t="shared" si="117"/>
        <v>0</v>
      </c>
      <c r="O433" s="64">
        <f t="shared" si="118"/>
        <v>0</v>
      </c>
      <c r="P433" s="18"/>
    </row>
    <row r="434" spans="1:16" ht="15.6" x14ac:dyDescent="0.3">
      <c r="A434" s="2" t="s">
        <v>35</v>
      </c>
      <c r="B434" s="9" t="s">
        <v>36</v>
      </c>
      <c r="C434" s="24"/>
      <c r="D434" s="46">
        <f t="shared" si="119"/>
        <v>0</v>
      </c>
      <c r="E434" s="24"/>
      <c r="F434" s="25"/>
      <c r="G434" s="51">
        <f t="shared" si="120"/>
        <v>0</v>
      </c>
      <c r="H434" s="25"/>
      <c r="I434" s="51">
        <f t="shared" si="121"/>
        <v>0</v>
      </c>
      <c r="J434" s="27"/>
      <c r="K434" s="59">
        <f t="shared" si="122"/>
        <v>0</v>
      </c>
      <c r="L434" s="63">
        <f t="shared" si="115"/>
        <v>0</v>
      </c>
      <c r="M434" s="64">
        <f t="shared" si="116"/>
        <v>0</v>
      </c>
      <c r="N434" s="63">
        <f t="shared" si="117"/>
        <v>0</v>
      </c>
      <c r="O434" s="64">
        <f t="shared" si="118"/>
        <v>0</v>
      </c>
      <c r="P434" s="18"/>
    </row>
    <row r="435" spans="1:16" ht="27.6" x14ac:dyDescent="0.3">
      <c r="A435" s="2" t="s">
        <v>37</v>
      </c>
      <c r="B435" s="9" t="s">
        <v>38</v>
      </c>
      <c r="C435" s="24"/>
      <c r="D435" s="46">
        <f t="shared" si="119"/>
        <v>0</v>
      </c>
      <c r="E435" s="24"/>
      <c r="F435" s="25"/>
      <c r="G435" s="51">
        <f t="shared" si="120"/>
        <v>0</v>
      </c>
      <c r="H435" s="25"/>
      <c r="I435" s="51">
        <f t="shared" si="121"/>
        <v>0</v>
      </c>
      <c r="J435" s="27"/>
      <c r="K435" s="59">
        <f t="shared" si="122"/>
        <v>0</v>
      </c>
      <c r="L435" s="63">
        <f t="shared" si="115"/>
        <v>0</v>
      </c>
      <c r="M435" s="64">
        <f t="shared" si="116"/>
        <v>0</v>
      </c>
      <c r="N435" s="63">
        <f t="shared" si="117"/>
        <v>0</v>
      </c>
      <c r="O435" s="64">
        <f t="shared" si="118"/>
        <v>0</v>
      </c>
      <c r="P435" s="18"/>
    </row>
    <row r="436" spans="1:16" ht="15.6" x14ac:dyDescent="0.3">
      <c r="A436" s="2" t="s">
        <v>39</v>
      </c>
      <c r="B436" s="9" t="s">
        <v>40</v>
      </c>
      <c r="C436" s="24"/>
      <c r="D436" s="46">
        <f t="shared" si="119"/>
        <v>0</v>
      </c>
      <c r="E436" s="24"/>
      <c r="F436" s="25"/>
      <c r="G436" s="51">
        <f t="shared" si="120"/>
        <v>0</v>
      </c>
      <c r="H436" s="25"/>
      <c r="I436" s="51">
        <f t="shared" si="121"/>
        <v>0</v>
      </c>
      <c r="J436" s="27"/>
      <c r="K436" s="59">
        <f t="shared" si="122"/>
        <v>0</v>
      </c>
      <c r="L436" s="63">
        <f t="shared" si="115"/>
        <v>0</v>
      </c>
      <c r="M436" s="64">
        <f t="shared" si="116"/>
        <v>0</v>
      </c>
      <c r="N436" s="63">
        <f t="shared" si="117"/>
        <v>0</v>
      </c>
      <c r="O436" s="64">
        <f t="shared" si="118"/>
        <v>0</v>
      </c>
      <c r="P436" s="18"/>
    </row>
    <row r="437" spans="1:16" ht="15.6" x14ac:dyDescent="0.3">
      <c r="A437" s="2" t="s">
        <v>41</v>
      </c>
      <c r="B437" s="9" t="s">
        <v>42</v>
      </c>
      <c r="C437" s="24"/>
      <c r="D437" s="46">
        <f t="shared" si="119"/>
        <v>0</v>
      </c>
      <c r="E437" s="24"/>
      <c r="F437" s="25"/>
      <c r="G437" s="51">
        <f t="shared" si="120"/>
        <v>0</v>
      </c>
      <c r="H437" s="25"/>
      <c r="I437" s="51">
        <f t="shared" si="121"/>
        <v>0</v>
      </c>
      <c r="J437" s="27"/>
      <c r="K437" s="59">
        <f t="shared" si="122"/>
        <v>0</v>
      </c>
      <c r="L437" s="63">
        <f t="shared" si="115"/>
        <v>0</v>
      </c>
      <c r="M437" s="64">
        <f t="shared" si="116"/>
        <v>0</v>
      </c>
      <c r="N437" s="63">
        <f t="shared" si="117"/>
        <v>0</v>
      </c>
      <c r="O437" s="64">
        <f t="shared" si="118"/>
        <v>0</v>
      </c>
      <c r="P437" s="18"/>
    </row>
    <row r="438" spans="1:16" ht="15.6" x14ac:dyDescent="0.3">
      <c r="A438" s="2" t="s">
        <v>43</v>
      </c>
      <c r="B438" s="7" t="s">
        <v>44</v>
      </c>
      <c r="C438" s="24"/>
      <c r="D438" s="46">
        <f t="shared" si="119"/>
        <v>0</v>
      </c>
      <c r="E438" s="24"/>
      <c r="F438" s="25"/>
      <c r="G438" s="51">
        <f t="shared" si="120"/>
        <v>0</v>
      </c>
      <c r="H438" s="25"/>
      <c r="I438" s="51">
        <f t="shared" si="121"/>
        <v>0</v>
      </c>
      <c r="J438" s="27"/>
      <c r="K438" s="59">
        <f t="shared" si="122"/>
        <v>0</v>
      </c>
      <c r="L438" s="63">
        <f t="shared" si="115"/>
        <v>0</v>
      </c>
      <c r="M438" s="64">
        <f t="shared" si="116"/>
        <v>0</v>
      </c>
      <c r="N438" s="63">
        <f t="shared" si="117"/>
        <v>0</v>
      </c>
      <c r="O438" s="64">
        <f t="shared" si="118"/>
        <v>0</v>
      </c>
      <c r="P438" s="18"/>
    </row>
    <row r="439" spans="1:16" ht="15.6" x14ac:dyDescent="0.3">
      <c r="A439" s="2" t="s">
        <v>45</v>
      </c>
      <c r="B439" s="7" t="s">
        <v>46</v>
      </c>
      <c r="C439" s="24"/>
      <c r="D439" s="46">
        <f t="shared" si="119"/>
        <v>0</v>
      </c>
      <c r="E439" s="24"/>
      <c r="F439" s="25"/>
      <c r="G439" s="51">
        <f t="shared" si="120"/>
        <v>0</v>
      </c>
      <c r="H439" s="25"/>
      <c r="I439" s="51">
        <f t="shared" si="121"/>
        <v>0</v>
      </c>
      <c r="J439" s="27"/>
      <c r="K439" s="59">
        <f t="shared" si="122"/>
        <v>0</v>
      </c>
      <c r="L439" s="63">
        <f t="shared" si="115"/>
        <v>0</v>
      </c>
      <c r="M439" s="64">
        <f t="shared" si="116"/>
        <v>0</v>
      </c>
      <c r="N439" s="63">
        <f t="shared" si="117"/>
        <v>0</v>
      </c>
      <c r="O439" s="64">
        <f t="shared" si="118"/>
        <v>0</v>
      </c>
      <c r="P439" s="18"/>
    </row>
    <row r="440" spans="1:16" s="16" customFormat="1" ht="15.6" x14ac:dyDescent="0.3">
      <c r="A440" s="14" t="s">
        <v>47</v>
      </c>
      <c r="B440" s="22" t="s">
        <v>48</v>
      </c>
      <c r="C440" s="66">
        <f>SUM(C441:C463)</f>
        <v>0</v>
      </c>
      <c r="D440" s="46">
        <f t="shared" si="119"/>
        <v>0</v>
      </c>
      <c r="E440" s="66">
        <f>SUM(E441:E463)</f>
        <v>0</v>
      </c>
      <c r="F440" s="67">
        <f>SUM(F441:F463)</f>
        <v>0</v>
      </c>
      <c r="G440" s="51">
        <f t="shared" si="120"/>
        <v>0</v>
      </c>
      <c r="H440" s="67">
        <f>SUM(H441:H463)</f>
        <v>0</v>
      </c>
      <c r="I440" s="51">
        <f t="shared" si="121"/>
        <v>0</v>
      </c>
      <c r="J440" s="23">
        <f>SUM(J441:J463)</f>
        <v>0</v>
      </c>
      <c r="K440" s="59">
        <f t="shared" si="122"/>
        <v>0</v>
      </c>
      <c r="L440" s="63">
        <f t="shared" si="115"/>
        <v>0</v>
      </c>
      <c r="M440" s="64">
        <f t="shared" si="116"/>
        <v>0</v>
      </c>
      <c r="N440" s="63">
        <f t="shared" si="117"/>
        <v>0</v>
      </c>
      <c r="O440" s="64">
        <f t="shared" si="118"/>
        <v>0</v>
      </c>
      <c r="P440" s="18"/>
    </row>
    <row r="441" spans="1:16" ht="15.6" x14ac:dyDescent="0.3">
      <c r="A441" s="2" t="s">
        <v>49</v>
      </c>
      <c r="B441" s="10" t="s">
        <v>50</v>
      </c>
      <c r="C441" s="29"/>
      <c r="D441" s="46">
        <f t="shared" si="119"/>
        <v>0</v>
      </c>
      <c r="E441" s="24"/>
      <c r="F441" s="25"/>
      <c r="G441" s="51">
        <f t="shared" si="120"/>
        <v>0</v>
      </c>
      <c r="H441" s="25"/>
      <c r="I441" s="51">
        <f t="shared" si="121"/>
        <v>0</v>
      </c>
      <c r="J441" s="27"/>
      <c r="K441" s="59">
        <f t="shared" si="122"/>
        <v>0</v>
      </c>
      <c r="L441" s="63">
        <f t="shared" si="115"/>
        <v>0</v>
      </c>
      <c r="M441" s="64">
        <f t="shared" si="116"/>
        <v>0</v>
      </c>
      <c r="N441" s="63">
        <f t="shared" si="117"/>
        <v>0</v>
      </c>
      <c r="O441" s="64">
        <f t="shared" si="118"/>
        <v>0</v>
      </c>
      <c r="P441" s="18"/>
    </row>
    <row r="442" spans="1:16" ht="15.6" x14ac:dyDescent="0.3">
      <c r="A442" s="2" t="s">
        <v>51</v>
      </c>
      <c r="B442" s="10" t="s">
        <v>52</v>
      </c>
      <c r="C442" s="24"/>
      <c r="D442" s="46">
        <f t="shared" si="119"/>
        <v>0</v>
      </c>
      <c r="E442" s="24"/>
      <c r="F442" s="25"/>
      <c r="G442" s="51">
        <f t="shared" si="120"/>
        <v>0</v>
      </c>
      <c r="H442" s="25"/>
      <c r="I442" s="51">
        <f t="shared" si="121"/>
        <v>0</v>
      </c>
      <c r="J442" s="27"/>
      <c r="K442" s="59">
        <f t="shared" si="122"/>
        <v>0</v>
      </c>
      <c r="L442" s="63">
        <f t="shared" si="115"/>
        <v>0</v>
      </c>
      <c r="M442" s="64">
        <f t="shared" si="116"/>
        <v>0</v>
      </c>
      <c r="N442" s="63">
        <f t="shared" si="117"/>
        <v>0</v>
      </c>
      <c r="O442" s="64">
        <f t="shared" si="118"/>
        <v>0</v>
      </c>
      <c r="P442" s="18"/>
    </row>
    <row r="443" spans="1:16" ht="15.6" x14ac:dyDescent="0.3">
      <c r="A443" s="2" t="s">
        <v>53</v>
      </c>
      <c r="B443" s="10" t="s">
        <v>54</v>
      </c>
      <c r="C443" s="24"/>
      <c r="D443" s="46">
        <f t="shared" si="119"/>
        <v>0</v>
      </c>
      <c r="E443" s="24"/>
      <c r="F443" s="25"/>
      <c r="G443" s="51">
        <f t="shared" si="120"/>
        <v>0</v>
      </c>
      <c r="H443" s="25"/>
      <c r="I443" s="51">
        <f t="shared" si="121"/>
        <v>0</v>
      </c>
      <c r="J443" s="27"/>
      <c r="K443" s="59">
        <f t="shared" si="122"/>
        <v>0</v>
      </c>
      <c r="L443" s="63">
        <f t="shared" si="115"/>
        <v>0</v>
      </c>
      <c r="M443" s="64">
        <f t="shared" si="116"/>
        <v>0</v>
      </c>
      <c r="N443" s="63">
        <f t="shared" si="117"/>
        <v>0</v>
      </c>
      <c r="O443" s="64">
        <f t="shared" si="118"/>
        <v>0</v>
      </c>
      <c r="P443" s="18"/>
    </row>
    <row r="444" spans="1:16" ht="15.6" x14ac:dyDescent="0.3">
      <c r="A444" s="2" t="s">
        <v>55</v>
      </c>
      <c r="B444" s="10" t="s">
        <v>56</v>
      </c>
      <c r="C444" s="24"/>
      <c r="D444" s="46">
        <f t="shared" si="119"/>
        <v>0</v>
      </c>
      <c r="E444" s="24"/>
      <c r="F444" s="25"/>
      <c r="G444" s="51">
        <f t="shared" si="120"/>
        <v>0</v>
      </c>
      <c r="H444" s="25"/>
      <c r="I444" s="51">
        <f t="shared" si="121"/>
        <v>0</v>
      </c>
      <c r="J444" s="27"/>
      <c r="K444" s="59">
        <f t="shared" si="122"/>
        <v>0</v>
      </c>
      <c r="L444" s="63">
        <f t="shared" si="115"/>
        <v>0</v>
      </c>
      <c r="M444" s="64">
        <f t="shared" si="116"/>
        <v>0</v>
      </c>
      <c r="N444" s="63">
        <f t="shared" si="117"/>
        <v>0</v>
      </c>
      <c r="O444" s="64">
        <f t="shared" si="118"/>
        <v>0</v>
      </c>
      <c r="P444" s="18"/>
    </row>
    <row r="445" spans="1:16" ht="15.6" x14ac:dyDescent="0.3">
      <c r="A445" s="2" t="s">
        <v>57</v>
      </c>
      <c r="B445" s="10" t="s">
        <v>58</v>
      </c>
      <c r="C445" s="29"/>
      <c r="D445" s="46">
        <f t="shared" si="119"/>
        <v>0</v>
      </c>
      <c r="E445" s="24"/>
      <c r="F445" s="25"/>
      <c r="G445" s="51">
        <f t="shared" si="120"/>
        <v>0</v>
      </c>
      <c r="H445" s="25"/>
      <c r="I445" s="51">
        <f t="shared" si="121"/>
        <v>0</v>
      </c>
      <c r="J445" s="27"/>
      <c r="K445" s="59">
        <f t="shared" si="122"/>
        <v>0</v>
      </c>
      <c r="L445" s="63">
        <f t="shared" si="115"/>
        <v>0</v>
      </c>
      <c r="M445" s="64">
        <f t="shared" si="116"/>
        <v>0</v>
      </c>
      <c r="N445" s="63">
        <f t="shared" si="117"/>
        <v>0</v>
      </c>
      <c r="O445" s="64">
        <f t="shared" si="118"/>
        <v>0</v>
      </c>
      <c r="P445" s="18"/>
    </row>
    <row r="446" spans="1:16" ht="15.6" x14ac:dyDescent="0.3">
      <c r="A446" s="2" t="s">
        <v>59</v>
      </c>
      <c r="B446" s="10" t="s">
        <v>60</v>
      </c>
      <c r="C446" s="24"/>
      <c r="D446" s="46">
        <f t="shared" si="119"/>
        <v>0</v>
      </c>
      <c r="E446" s="24"/>
      <c r="F446" s="25"/>
      <c r="G446" s="51">
        <f t="shared" si="120"/>
        <v>0</v>
      </c>
      <c r="H446" s="25"/>
      <c r="I446" s="51">
        <f t="shared" si="121"/>
        <v>0</v>
      </c>
      <c r="J446" s="27"/>
      <c r="K446" s="59">
        <f t="shared" si="122"/>
        <v>0</v>
      </c>
      <c r="L446" s="63">
        <f t="shared" si="115"/>
        <v>0</v>
      </c>
      <c r="M446" s="64">
        <f t="shared" si="116"/>
        <v>0</v>
      </c>
      <c r="N446" s="63">
        <f t="shared" si="117"/>
        <v>0</v>
      </c>
      <c r="O446" s="64">
        <f t="shared" si="118"/>
        <v>0</v>
      </c>
      <c r="P446" s="18"/>
    </row>
    <row r="447" spans="1:16" ht="15.6" x14ac:dyDescent="0.3">
      <c r="A447" s="2" t="s">
        <v>61</v>
      </c>
      <c r="B447" s="10" t="s">
        <v>62</v>
      </c>
      <c r="C447" s="29"/>
      <c r="D447" s="46">
        <f t="shared" si="119"/>
        <v>0</v>
      </c>
      <c r="E447" s="24"/>
      <c r="F447" s="25"/>
      <c r="G447" s="51">
        <f t="shared" si="120"/>
        <v>0</v>
      </c>
      <c r="H447" s="25"/>
      <c r="I447" s="51">
        <f t="shared" si="121"/>
        <v>0</v>
      </c>
      <c r="J447" s="27"/>
      <c r="K447" s="59">
        <f t="shared" si="122"/>
        <v>0</v>
      </c>
      <c r="L447" s="63">
        <f t="shared" si="115"/>
        <v>0</v>
      </c>
      <c r="M447" s="64">
        <f t="shared" si="116"/>
        <v>0</v>
      </c>
      <c r="N447" s="63">
        <f t="shared" si="117"/>
        <v>0</v>
      </c>
      <c r="O447" s="64">
        <f t="shared" si="118"/>
        <v>0</v>
      </c>
      <c r="P447" s="18"/>
    </row>
    <row r="448" spans="1:16" ht="15.6" x14ac:dyDescent="0.3">
      <c r="A448" s="2" t="s">
        <v>63</v>
      </c>
      <c r="B448" s="10" t="s">
        <v>64</v>
      </c>
      <c r="C448" s="24"/>
      <c r="D448" s="46">
        <f t="shared" si="119"/>
        <v>0</v>
      </c>
      <c r="E448" s="24"/>
      <c r="F448" s="25"/>
      <c r="G448" s="51">
        <f t="shared" si="120"/>
        <v>0</v>
      </c>
      <c r="H448" s="25"/>
      <c r="I448" s="51">
        <f t="shared" si="121"/>
        <v>0</v>
      </c>
      <c r="J448" s="27"/>
      <c r="K448" s="59">
        <f t="shared" si="122"/>
        <v>0</v>
      </c>
      <c r="L448" s="63">
        <f t="shared" si="115"/>
        <v>0</v>
      </c>
      <c r="M448" s="64">
        <f t="shared" si="116"/>
        <v>0</v>
      </c>
      <c r="N448" s="63">
        <f t="shared" si="117"/>
        <v>0</v>
      </c>
      <c r="O448" s="64">
        <f t="shared" si="118"/>
        <v>0</v>
      </c>
      <c r="P448" s="18"/>
    </row>
    <row r="449" spans="1:16" ht="15.6" x14ac:dyDescent="0.3">
      <c r="A449" s="2" t="s">
        <v>65</v>
      </c>
      <c r="B449" s="10" t="s">
        <v>66</v>
      </c>
      <c r="C449" s="29"/>
      <c r="D449" s="46">
        <f t="shared" si="119"/>
        <v>0</v>
      </c>
      <c r="E449" s="24"/>
      <c r="F449" s="25"/>
      <c r="G449" s="51">
        <f t="shared" si="120"/>
        <v>0</v>
      </c>
      <c r="H449" s="25"/>
      <c r="I449" s="51">
        <f t="shared" si="121"/>
        <v>0</v>
      </c>
      <c r="J449" s="27"/>
      <c r="K449" s="59">
        <f t="shared" si="122"/>
        <v>0</v>
      </c>
      <c r="L449" s="63">
        <f t="shared" si="115"/>
        <v>0</v>
      </c>
      <c r="M449" s="64">
        <f t="shared" si="116"/>
        <v>0</v>
      </c>
      <c r="N449" s="63">
        <f t="shared" si="117"/>
        <v>0</v>
      </c>
      <c r="O449" s="64">
        <f t="shared" si="118"/>
        <v>0</v>
      </c>
      <c r="P449" s="18"/>
    </row>
    <row r="450" spans="1:16" ht="15.6" x14ac:dyDescent="0.3">
      <c r="A450" s="2" t="s">
        <v>67</v>
      </c>
      <c r="B450" s="10" t="s">
        <v>68</v>
      </c>
      <c r="C450" s="29"/>
      <c r="D450" s="46">
        <f t="shared" si="119"/>
        <v>0</v>
      </c>
      <c r="E450" s="24"/>
      <c r="F450" s="25"/>
      <c r="G450" s="51">
        <f t="shared" si="120"/>
        <v>0</v>
      </c>
      <c r="H450" s="25"/>
      <c r="I450" s="51">
        <f t="shared" si="121"/>
        <v>0</v>
      </c>
      <c r="J450" s="27"/>
      <c r="K450" s="59">
        <f t="shared" si="122"/>
        <v>0</v>
      </c>
      <c r="L450" s="63">
        <f t="shared" si="115"/>
        <v>0</v>
      </c>
      <c r="M450" s="64">
        <f t="shared" si="116"/>
        <v>0</v>
      </c>
      <c r="N450" s="63">
        <f t="shared" si="117"/>
        <v>0</v>
      </c>
      <c r="O450" s="64">
        <f t="shared" si="118"/>
        <v>0</v>
      </c>
      <c r="P450" s="18"/>
    </row>
    <row r="451" spans="1:16" ht="15.6" x14ac:dyDescent="0.3">
      <c r="A451" s="2" t="s">
        <v>69</v>
      </c>
      <c r="B451" s="10" t="s">
        <v>70</v>
      </c>
      <c r="C451" s="29"/>
      <c r="D451" s="46">
        <f t="shared" si="119"/>
        <v>0</v>
      </c>
      <c r="E451" s="24"/>
      <c r="F451" s="25"/>
      <c r="G451" s="51">
        <f t="shared" si="120"/>
        <v>0</v>
      </c>
      <c r="H451" s="25"/>
      <c r="I451" s="51">
        <f t="shared" si="121"/>
        <v>0</v>
      </c>
      <c r="J451" s="27"/>
      <c r="K451" s="59">
        <f t="shared" si="122"/>
        <v>0</v>
      </c>
      <c r="L451" s="63">
        <f t="shared" si="115"/>
        <v>0</v>
      </c>
      <c r="M451" s="64">
        <f t="shared" si="116"/>
        <v>0</v>
      </c>
      <c r="N451" s="63">
        <f t="shared" si="117"/>
        <v>0</v>
      </c>
      <c r="O451" s="64">
        <f t="shared" si="118"/>
        <v>0</v>
      </c>
      <c r="P451" s="18"/>
    </row>
    <row r="452" spans="1:16" ht="15.6" x14ac:dyDescent="0.3">
      <c r="A452" s="31" t="s">
        <v>71</v>
      </c>
      <c r="B452" s="10" t="s">
        <v>72</v>
      </c>
      <c r="C452" s="29"/>
      <c r="D452" s="46">
        <f t="shared" si="119"/>
        <v>0</v>
      </c>
      <c r="E452" s="24"/>
      <c r="F452" s="25"/>
      <c r="G452" s="51">
        <f t="shared" si="120"/>
        <v>0</v>
      </c>
      <c r="H452" s="25"/>
      <c r="I452" s="51">
        <f t="shared" si="121"/>
        <v>0</v>
      </c>
      <c r="J452" s="27"/>
      <c r="K452" s="59">
        <f t="shared" si="122"/>
        <v>0</v>
      </c>
      <c r="L452" s="63">
        <f t="shared" si="115"/>
        <v>0</v>
      </c>
      <c r="M452" s="64">
        <f t="shared" si="116"/>
        <v>0</v>
      </c>
      <c r="N452" s="63">
        <f t="shared" si="117"/>
        <v>0</v>
      </c>
      <c r="O452" s="64">
        <f t="shared" si="118"/>
        <v>0</v>
      </c>
      <c r="P452" s="18"/>
    </row>
    <row r="453" spans="1:16" ht="15.6" x14ac:dyDescent="0.3">
      <c r="A453" s="2" t="s">
        <v>73</v>
      </c>
      <c r="B453" s="10" t="s">
        <v>74</v>
      </c>
      <c r="C453" s="24"/>
      <c r="D453" s="46">
        <f t="shared" si="119"/>
        <v>0</v>
      </c>
      <c r="E453" s="24"/>
      <c r="F453" s="25"/>
      <c r="G453" s="51">
        <f t="shared" si="120"/>
        <v>0</v>
      </c>
      <c r="H453" s="25"/>
      <c r="I453" s="51">
        <f t="shared" si="121"/>
        <v>0</v>
      </c>
      <c r="J453" s="27"/>
      <c r="K453" s="59">
        <f t="shared" si="122"/>
        <v>0</v>
      </c>
      <c r="L453" s="63">
        <f t="shared" si="115"/>
        <v>0</v>
      </c>
      <c r="M453" s="64">
        <f t="shared" si="116"/>
        <v>0</v>
      </c>
      <c r="N453" s="63">
        <f t="shared" si="117"/>
        <v>0</v>
      </c>
      <c r="O453" s="64">
        <f t="shared" si="118"/>
        <v>0</v>
      </c>
      <c r="P453" s="18"/>
    </row>
    <row r="454" spans="1:16" ht="15.6" x14ac:dyDescent="0.3">
      <c r="A454" s="18" t="s">
        <v>75</v>
      </c>
      <c r="B454" s="10" t="s">
        <v>76</v>
      </c>
      <c r="C454" s="29"/>
      <c r="D454" s="46">
        <f t="shared" si="119"/>
        <v>0</v>
      </c>
      <c r="E454" s="24"/>
      <c r="F454" s="25"/>
      <c r="G454" s="51">
        <f t="shared" si="120"/>
        <v>0</v>
      </c>
      <c r="H454" s="25"/>
      <c r="I454" s="51">
        <f t="shared" si="121"/>
        <v>0</v>
      </c>
      <c r="J454" s="27"/>
      <c r="K454" s="59">
        <f t="shared" si="122"/>
        <v>0</v>
      </c>
      <c r="L454" s="63">
        <f t="shared" si="115"/>
        <v>0</v>
      </c>
      <c r="M454" s="64">
        <f t="shared" si="116"/>
        <v>0</v>
      </c>
      <c r="N454" s="63">
        <f t="shared" si="117"/>
        <v>0</v>
      </c>
      <c r="O454" s="64">
        <f t="shared" si="118"/>
        <v>0</v>
      </c>
      <c r="P454" s="18"/>
    </row>
    <row r="455" spans="1:16" ht="15.6" x14ac:dyDescent="0.3">
      <c r="A455" s="2" t="s">
        <v>77</v>
      </c>
      <c r="B455" s="10" t="s">
        <v>78</v>
      </c>
      <c r="C455" s="29"/>
      <c r="D455" s="46">
        <f t="shared" si="119"/>
        <v>0</v>
      </c>
      <c r="E455" s="24"/>
      <c r="F455" s="25"/>
      <c r="G455" s="51">
        <f t="shared" si="120"/>
        <v>0</v>
      </c>
      <c r="H455" s="25"/>
      <c r="I455" s="51">
        <f t="shared" si="121"/>
        <v>0</v>
      </c>
      <c r="J455" s="27"/>
      <c r="K455" s="59">
        <f t="shared" si="122"/>
        <v>0</v>
      </c>
      <c r="L455" s="63">
        <f t="shared" si="115"/>
        <v>0</v>
      </c>
      <c r="M455" s="64">
        <f t="shared" si="116"/>
        <v>0</v>
      </c>
      <c r="N455" s="63">
        <f t="shared" si="117"/>
        <v>0</v>
      </c>
      <c r="O455" s="64">
        <f t="shared" si="118"/>
        <v>0</v>
      </c>
      <c r="P455" s="18"/>
    </row>
    <row r="456" spans="1:16" ht="15.6" x14ac:dyDescent="0.3">
      <c r="A456" s="18" t="s">
        <v>79</v>
      </c>
      <c r="B456" s="10" t="s">
        <v>80</v>
      </c>
      <c r="C456" s="24"/>
      <c r="D456" s="46">
        <f t="shared" si="119"/>
        <v>0</v>
      </c>
      <c r="E456" s="24"/>
      <c r="F456" s="25"/>
      <c r="G456" s="51">
        <f t="shared" si="120"/>
        <v>0</v>
      </c>
      <c r="H456" s="25"/>
      <c r="I456" s="51">
        <f t="shared" si="121"/>
        <v>0</v>
      </c>
      <c r="J456" s="27"/>
      <c r="K456" s="59">
        <f t="shared" si="122"/>
        <v>0</v>
      </c>
      <c r="L456" s="63">
        <f t="shared" si="115"/>
        <v>0</v>
      </c>
      <c r="M456" s="64">
        <f t="shared" si="116"/>
        <v>0</v>
      </c>
      <c r="N456" s="63">
        <f t="shared" si="117"/>
        <v>0</v>
      </c>
      <c r="O456" s="64">
        <f t="shared" si="118"/>
        <v>0</v>
      </c>
      <c r="P456" s="18"/>
    </row>
    <row r="457" spans="1:16" ht="15.6" x14ac:dyDescent="0.3">
      <c r="A457" s="2" t="s">
        <v>81</v>
      </c>
      <c r="B457" s="10" t="s">
        <v>82</v>
      </c>
      <c r="C457" s="24"/>
      <c r="D457" s="46">
        <f t="shared" si="119"/>
        <v>0</v>
      </c>
      <c r="E457" s="24"/>
      <c r="F457" s="25"/>
      <c r="G457" s="51">
        <f t="shared" si="120"/>
        <v>0</v>
      </c>
      <c r="H457" s="25"/>
      <c r="I457" s="51">
        <f t="shared" si="121"/>
        <v>0</v>
      </c>
      <c r="J457" s="27"/>
      <c r="K457" s="59">
        <f t="shared" si="122"/>
        <v>0</v>
      </c>
      <c r="L457" s="63">
        <f t="shared" si="115"/>
        <v>0</v>
      </c>
      <c r="M457" s="64">
        <f t="shared" si="116"/>
        <v>0</v>
      </c>
      <c r="N457" s="63">
        <f t="shared" si="117"/>
        <v>0</v>
      </c>
      <c r="O457" s="64">
        <f t="shared" si="118"/>
        <v>0</v>
      </c>
      <c r="P457" s="18"/>
    </row>
    <row r="458" spans="1:16" ht="15.6" x14ac:dyDescent="0.3">
      <c r="A458" s="2" t="s">
        <v>83</v>
      </c>
      <c r="B458" s="10" t="s">
        <v>84</v>
      </c>
      <c r="C458" s="24"/>
      <c r="D458" s="46">
        <f t="shared" si="119"/>
        <v>0</v>
      </c>
      <c r="E458" s="24"/>
      <c r="F458" s="25"/>
      <c r="G458" s="51">
        <f t="shared" si="120"/>
        <v>0</v>
      </c>
      <c r="H458" s="25"/>
      <c r="I458" s="51">
        <f t="shared" si="121"/>
        <v>0</v>
      </c>
      <c r="J458" s="27"/>
      <c r="K458" s="59">
        <f t="shared" si="122"/>
        <v>0</v>
      </c>
      <c r="L458" s="63">
        <f t="shared" si="115"/>
        <v>0</v>
      </c>
      <c r="M458" s="64">
        <f t="shared" si="116"/>
        <v>0</v>
      </c>
      <c r="N458" s="63">
        <f t="shared" si="117"/>
        <v>0</v>
      </c>
      <c r="O458" s="64">
        <f t="shared" si="118"/>
        <v>0</v>
      </c>
      <c r="P458" s="18"/>
    </row>
    <row r="459" spans="1:16" ht="15.6" x14ac:dyDescent="0.3">
      <c r="A459" s="2" t="s">
        <v>85</v>
      </c>
      <c r="B459" s="10" t="s">
        <v>86</v>
      </c>
      <c r="C459" s="29"/>
      <c r="D459" s="46">
        <f t="shared" si="119"/>
        <v>0</v>
      </c>
      <c r="E459" s="24"/>
      <c r="F459" s="25"/>
      <c r="G459" s="51">
        <f t="shared" si="120"/>
        <v>0</v>
      </c>
      <c r="H459" s="25"/>
      <c r="I459" s="51">
        <f t="shared" si="121"/>
        <v>0</v>
      </c>
      <c r="J459" s="27"/>
      <c r="K459" s="59">
        <f t="shared" si="122"/>
        <v>0</v>
      </c>
      <c r="L459" s="63">
        <f t="shared" si="115"/>
        <v>0</v>
      </c>
      <c r="M459" s="64">
        <f t="shared" si="116"/>
        <v>0</v>
      </c>
      <c r="N459" s="63">
        <f t="shared" si="117"/>
        <v>0</v>
      </c>
      <c r="O459" s="64">
        <f t="shared" si="118"/>
        <v>0</v>
      </c>
      <c r="P459" s="18"/>
    </row>
    <row r="460" spans="1:16" ht="15.6" x14ac:dyDescent="0.3">
      <c r="A460" s="2" t="s">
        <v>87</v>
      </c>
      <c r="B460" s="10" t="s">
        <v>88</v>
      </c>
      <c r="C460" s="29"/>
      <c r="D460" s="46">
        <f t="shared" si="119"/>
        <v>0</v>
      </c>
      <c r="E460" s="24"/>
      <c r="F460" s="25"/>
      <c r="G460" s="51">
        <f t="shared" si="120"/>
        <v>0</v>
      </c>
      <c r="H460" s="25"/>
      <c r="I460" s="51">
        <f t="shared" si="121"/>
        <v>0</v>
      </c>
      <c r="J460" s="27"/>
      <c r="K460" s="59">
        <f t="shared" si="122"/>
        <v>0</v>
      </c>
      <c r="L460" s="63">
        <f t="shared" si="115"/>
        <v>0</v>
      </c>
      <c r="M460" s="64">
        <f t="shared" si="116"/>
        <v>0</v>
      </c>
      <c r="N460" s="63">
        <f t="shared" si="117"/>
        <v>0</v>
      </c>
      <c r="O460" s="64">
        <f t="shared" si="118"/>
        <v>0</v>
      </c>
      <c r="P460" s="18"/>
    </row>
    <row r="461" spans="1:16" ht="15.6" x14ac:dyDescent="0.3">
      <c r="A461" s="2" t="s">
        <v>89</v>
      </c>
      <c r="B461" s="10" t="s">
        <v>90</v>
      </c>
      <c r="C461" s="24"/>
      <c r="D461" s="46">
        <f t="shared" si="119"/>
        <v>0</v>
      </c>
      <c r="E461" s="24"/>
      <c r="F461" s="25"/>
      <c r="G461" s="51">
        <f t="shared" si="120"/>
        <v>0</v>
      </c>
      <c r="H461" s="25"/>
      <c r="I461" s="51">
        <f t="shared" si="121"/>
        <v>0</v>
      </c>
      <c r="J461" s="27"/>
      <c r="K461" s="59">
        <f t="shared" si="122"/>
        <v>0</v>
      </c>
      <c r="L461" s="63">
        <f t="shared" si="115"/>
        <v>0</v>
      </c>
      <c r="M461" s="64">
        <f t="shared" si="116"/>
        <v>0</v>
      </c>
      <c r="N461" s="63">
        <f t="shared" si="117"/>
        <v>0</v>
      </c>
      <c r="O461" s="64">
        <f t="shared" si="118"/>
        <v>0</v>
      </c>
      <c r="P461" s="18"/>
    </row>
    <row r="462" spans="1:16" ht="15.6" x14ac:dyDescent="0.3">
      <c r="A462" s="2" t="s">
        <v>91</v>
      </c>
      <c r="B462" s="10" t="s">
        <v>92</v>
      </c>
      <c r="C462" s="29"/>
      <c r="D462" s="46">
        <f t="shared" si="119"/>
        <v>0</v>
      </c>
      <c r="E462" s="24"/>
      <c r="F462" s="25"/>
      <c r="G462" s="51">
        <f t="shared" si="120"/>
        <v>0</v>
      </c>
      <c r="H462" s="25"/>
      <c r="I462" s="51">
        <f t="shared" si="121"/>
        <v>0</v>
      </c>
      <c r="J462" s="27"/>
      <c r="K462" s="59">
        <f t="shared" si="122"/>
        <v>0</v>
      </c>
      <c r="L462" s="63">
        <f t="shared" si="115"/>
        <v>0</v>
      </c>
      <c r="M462" s="64">
        <f t="shared" si="116"/>
        <v>0</v>
      </c>
      <c r="N462" s="63">
        <f t="shared" si="117"/>
        <v>0</v>
      </c>
      <c r="O462" s="64">
        <f t="shared" si="118"/>
        <v>0</v>
      </c>
      <c r="P462" s="18"/>
    </row>
    <row r="463" spans="1:16" ht="15.6" x14ac:dyDescent="0.3">
      <c r="A463" s="2" t="s">
        <v>93</v>
      </c>
      <c r="B463" s="10" t="s">
        <v>94</v>
      </c>
      <c r="C463" s="29"/>
      <c r="D463" s="46">
        <f t="shared" si="119"/>
        <v>0</v>
      </c>
      <c r="E463" s="24"/>
      <c r="F463" s="25"/>
      <c r="G463" s="51">
        <f t="shared" si="120"/>
        <v>0</v>
      </c>
      <c r="H463" s="25"/>
      <c r="I463" s="51">
        <f t="shared" si="121"/>
        <v>0</v>
      </c>
      <c r="J463" s="27"/>
      <c r="K463" s="59">
        <f t="shared" si="122"/>
        <v>0</v>
      </c>
      <c r="L463" s="63">
        <f t="shared" si="115"/>
        <v>0</v>
      </c>
      <c r="M463" s="64">
        <f t="shared" si="116"/>
        <v>0</v>
      </c>
      <c r="N463" s="63">
        <f t="shared" si="117"/>
        <v>0</v>
      </c>
      <c r="O463" s="64">
        <f t="shared" si="118"/>
        <v>0</v>
      </c>
      <c r="P463" s="18"/>
    </row>
    <row r="464" spans="1:16" ht="15.6" x14ac:dyDescent="0.3">
      <c r="A464" s="21" t="s">
        <v>95</v>
      </c>
      <c r="B464" s="22" t="s">
        <v>96</v>
      </c>
      <c r="C464" s="91">
        <f>C420-C423</f>
        <v>0</v>
      </c>
      <c r="D464" s="82"/>
      <c r="E464" s="66">
        <f>E420-E423</f>
        <v>0</v>
      </c>
      <c r="F464" s="92">
        <f>F420-F423</f>
        <v>0</v>
      </c>
      <c r="G464" s="82"/>
      <c r="H464" s="92">
        <f>H420-H423</f>
        <v>0</v>
      </c>
      <c r="I464" s="82"/>
      <c r="J464" s="89">
        <f>J420-J423</f>
        <v>0</v>
      </c>
      <c r="K464" s="82"/>
      <c r="L464" s="63">
        <f t="shared" si="115"/>
        <v>0</v>
      </c>
      <c r="M464" s="64">
        <f t="shared" si="116"/>
        <v>0</v>
      </c>
      <c r="N464" s="63">
        <f t="shared" si="117"/>
        <v>0</v>
      </c>
      <c r="O464" s="64">
        <f t="shared" si="118"/>
        <v>0</v>
      </c>
      <c r="P464" s="18"/>
    </row>
    <row r="465" spans="1:16" x14ac:dyDescent="0.3">
      <c r="A465" s="30" t="s">
        <v>97</v>
      </c>
      <c r="B465" s="11" t="s">
        <v>98</v>
      </c>
      <c r="C465" s="84">
        <f>IFERROR(C464/C420,0)</f>
        <v>0</v>
      </c>
      <c r="D465" s="77"/>
      <c r="E465" s="47">
        <f>IFERROR(E464/E420,0)</f>
        <v>0</v>
      </c>
      <c r="F465" s="76">
        <f>IFERROR(F464/F420,0)</f>
        <v>0</v>
      </c>
      <c r="G465" s="77"/>
      <c r="H465" s="76">
        <f>IFERROR(H464/H420,0)</f>
        <v>0</v>
      </c>
      <c r="I465" s="77"/>
      <c r="J465" s="80">
        <f>IFERROR(J464/J420,0)</f>
        <v>0</v>
      </c>
      <c r="K465" s="77"/>
    </row>
    <row r="466" spans="1:16" x14ac:dyDescent="0.3">
      <c r="A466" s="30" t="s">
        <v>99</v>
      </c>
      <c r="B466" s="11" t="s">
        <v>100</v>
      </c>
      <c r="C466" s="84">
        <f>IFERROR(C464/C468,0)</f>
        <v>0</v>
      </c>
      <c r="D466" s="77"/>
      <c r="E466" s="47">
        <f>IFERROR(E464/C468,0)</f>
        <v>0</v>
      </c>
      <c r="F466" s="76">
        <f t="shared" ref="F466" si="123">IFERROR(F464/F468,0)</f>
        <v>0</v>
      </c>
      <c r="G466" s="77"/>
      <c r="H466" s="76">
        <f t="shared" ref="H466" si="124">IFERROR(H464/H468,0)</f>
        <v>0</v>
      </c>
      <c r="I466" s="77"/>
      <c r="J466" s="80">
        <f t="shared" ref="J466" si="125">IFERROR(J464/J468,0)</f>
        <v>0</v>
      </c>
      <c r="K466" s="77"/>
    </row>
    <row r="467" spans="1:16" x14ac:dyDescent="0.3">
      <c r="A467" s="33" t="s">
        <v>101</v>
      </c>
      <c r="B467" s="11" t="s">
        <v>102</v>
      </c>
      <c r="C467" s="84">
        <f>IFERROR(C466*12,0)</f>
        <v>0</v>
      </c>
      <c r="D467" s="77"/>
      <c r="E467" s="47">
        <f>IFERROR(E466*12,0)</f>
        <v>0</v>
      </c>
      <c r="F467" s="76">
        <f t="shared" ref="F467" si="126">IFERROR(F466*12,0)</f>
        <v>0</v>
      </c>
      <c r="G467" s="77"/>
      <c r="H467" s="76">
        <f t="shared" ref="H467" si="127">IFERROR(H466*12,0)</f>
        <v>0</v>
      </c>
      <c r="I467" s="77"/>
      <c r="J467" s="80">
        <f t="shared" ref="J467" si="128">IFERROR(J466*12,0)</f>
        <v>0</v>
      </c>
      <c r="K467" s="77"/>
    </row>
    <row r="468" spans="1:16" x14ac:dyDescent="0.3">
      <c r="A468" s="33" t="s">
        <v>103</v>
      </c>
      <c r="B468" s="12" t="s">
        <v>104</v>
      </c>
      <c r="C468" s="78">
        <v>792475</v>
      </c>
      <c r="D468" s="79"/>
    </row>
    <row r="470" spans="1:16" ht="39.6" customHeight="1" x14ac:dyDescent="0.3">
      <c r="A470" s="74" t="s">
        <v>0</v>
      </c>
      <c r="B470" s="85" t="s">
        <v>114</v>
      </c>
      <c r="C470" s="93" t="s">
        <v>2</v>
      </c>
      <c r="D470" s="82"/>
      <c r="E470" s="90" t="s">
        <v>3</v>
      </c>
      <c r="F470" s="81" t="s">
        <v>4</v>
      </c>
      <c r="G470" s="82"/>
      <c r="H470" s="81" t="s">
        <v>5</v>
      </c>
      <c r="I470" s="82"/>
      <c r="J470" s="83" t="s">
        <v>6</v>
      </c>
      <c r="K470" s="82"/>
      <c r="L470" s="61" t="s">
        <v>129</v>
      </c>
      <c r="M470" s="62" t="s">
        <v>130</v>
      </c>
      <c r="N470" s="61" t="s">
        <v>131</v>
      </c>
      <c r="O470" s="62" t="s">
        <v>132</v>
      </c>
      <c r="P470" s="18" t="s">
        <v>122</v>
      </c>
    </row>
    <row r="471" spans="1:16" ht="27.6" x14ac:dyDescent="0.3">
      <c r="A471" s="75"/>
      <c r="B471" s="86"/>
      <c r="C471" s="39">
        <v>46204</v>
      </c>
      <c r="D471" s="44" t="s">
        <v>7</v>
      </c>
      <c r="E471" s="75"/>
      <c r="F471" s="40">
        <v>46235</v>
      </c>
      <c r="G471" s="49" t="s">
        <v>7</v>
      </c>
      <c r="H471" s="40">
        <v>46235</v>
      </c>
      <c r="I471" s="49" t="s">
        <v>7</v>
      </c>
      <c r="J471" s="41">
        <v>46266</v>
      </c>
      <c r="K471" s="55" t="s">
        <v>7</v>
      </c>
      <c r="L471" s="116">
        <f>F471</f>
        <v>46235</v>
      </c>
      <c r="M471" s="117"/>
      <c r="N471" s="116">
        <f>F471</f>
        <v>46235</v>
      </c>
      <c r="O471" s="117"/>
      <c r="P471" s="18"/>
    </row>
    <row r="472" spans="1:16" ht="15.6" x14ac:dyDescent="0.3">
      <c r="A472" s="14" t="s">
        <v>8</v>
      </c>
      <c r="B472" s="15" t="s">
        <v>124</v>
      </c>
      <c r="C472" s="66">
        <f>C473+C474</f>
        <v>0</v>
      </c>
      <c r="D472" s="45"/>
      <c r="E472" s="66">
        <f>E473+E474</f>
        <v>0</v>
      </c>
      <c r="F472" s="67">
        <f>F473+F474</f>
        <v>0</v>
      </c>
      <c r="G472" s="50"/>
      <c r="H472" s="67">
        <f>H473+H474</f>
        <v>0</v>
      </c>
      <c r="I472" s="52"/>
      <c r="J472" s="23">
        <f>J473+J474</f>
        <v>0</v>
      </c>
      <c r="K472" s="56"/>
      <c r="L472" s="63">
        <f>H472-F472</f>
        <v>0</v>
      </c>
      <c r="M472" s="64">
        <f>IFERROR(L472/F472,0)</f>
        <v>0</v>
      </c>
      <c r="N472" s="63">
        <f>H472-C472</f>
        <v>0</v>
      </c>
      <c r="O472" s="64">
        <f>IFERROR(N472/C472,0)</f>
        <v>0</v>
      </c>
      <c r="P472" s="19"/>
    </row>
    <row r="473" spans="1:16" ht="15.6" x14ac:dyDescent="0.3">
      <c r="A473" s="2" t="s">
        <v>9</v>
      </c>
      <c r="B473" s="6" t="s">
        <v>10</v>
      </c>
      <c r="C473" s="24"/>
      <c r="D473" s="46"/>
      <c r="E473" s="24"/>
      <c r="F473" s="25"/>
      <c r="G473" s="51"/>
      <c r="H473" s="26"/>
      <c r="I473" s="51"/>
      <c r="J473" s="27"/>
      <c r="K473" s="57"/>
      <c r="L473" s="63">
        <f t="shared" ref="L473:L516" si="129">H473-F473</f>
        <v>0</v>
      </c>
      <c r="M473" s="64">
        <f t="shared" ref="M473:M516" si="130">IFERROR(L473/F473,0)</f>
        <v>0</v>
      </c>
      <c r="N473" s="63">
        <f t="shared" ref="N473:N516" si="131">H473-C473</f>
        <v>0</v>
      </c>
      <c r="O473" s="64">
        <f t="shared" ref="O473:O516" si="132">IFERROR(N473/C473,0)</f>
        <v>0</v>
      </c>
      <c r="P473" s="19"/>
    </row>
    <row r="474" spans="1:16" ht="15.6" x14ac:dyDescent="0.3">
      <c r="A474" s="2" t="s">
        <v>11</v>
      </c>
      <c r="B474" s="6" t="s">
        <v>12</v>
      </c>
      <c r="C474" s="24"/>
      <c r="D474" s="46"/>
      <c r="E474" s="24"/>
      <c r="F474" s="25"/>
      <c r="G474" s="51"/>
      <c r="H474" s="25"/>
      <c r="I474" s="51"/>
      <c r="J474" s="27"/>
      <c r="K474" s="57"/>
      <c r="L474" s="63">
        <f t="shared" si="129"/>
        <v>0</v>
      </c>
      <c r="M474" s="64">
        <f t="shared" si="130"/>
        <v>0</v>
      </c>
      <c r="N474" s="63">
        <f t="shared" si="131"/>
        <v>0</v>
      </c>
      <c r="O474" s="64">
        <f t="shared" si="132"/>
        <v>0</v>
      </c>
      <c r="P474" s="65"/>
    </row>
    <row r="475" spans="1:16" ht="15.6" x14ac:dyDescent="0.3">
      <c r="A475" s="14" t="s">
        <v>13</v>
      </c>
      <c r="B475" s="22" t="s">
        <v>14</v>
      </c>
      <c r="C475" s="66">
        <f>C479+C480+C481+C490+C491+C492+C476</f>
        <v>0</v>
      </c>
      <c r="D475" s="45"/>
      <c r="E475" s="66">
        <f>E479+E480+E481+E490+E491+E492+E476</f>
        <v>0</v>
      </c>
      <c r="F475" s="67">
        <f>F479+F480+F481+F490+F491+F492+F476</f>
        <v>0</v>
      </c>
      <c r="G475" s="52"/>
      <c r="H475" s="67">
        <f>H479+H480+H481+H490+H491+H492+H476</f>
        <v>0</v>
      </c>
      <c r="I475" s="52"/>
      <c r="J475" s="23">
        <f>J479+J480+J481+J490+J491+J492+J476</f>
        <v>0</v>
      </c>
      <c r="K475" s="58"/>
      <c r="L475" s="63">
        <f t="shared" si="129"/>
        <v>0</v>
      </c>
      <c r="M475" s="64">
        <f t="shared" si="130"/>
        <v>0</v>
      </c>
      <c r="N475" s="63">
        <f t="shared" si="131"/>
        <v>0</v>
      </c>
      <c r="O475" s="64">
        <f t="shared" si="132"/>
        <v>0</v>
      </c>
      <c r="P475" s="18"/>
    </row>
    <row r="476" spans="1:16" ht="15.6" x14ac:dyDescent="0.3">
      <c r="A476" s="17" t="s">
        <v>15</v>
      </c>
      <c r="B476" s="7" t="s">
        <v>16</v>
      </c>
      <c r="C476" s="24">
        <f>C477+C478</f>
        <v>0</v>
      </c>
      <c r="D476" s="46">
        <f>IFERROR(C476/$C$475,0)</f>
        <v>0</v>
      </c>
      <c r="E476" s="24">
        <f>E478+E477</f>
        <v>0</v>
      </c>
      <c r="F476" s="25">
        <f>F478+F477</f>
        <v>0</v>
      </c>
      <c r="G476" s="51">
        <f>IFERROR(F476/$F$475,0)</f>
        <v>0</v>
      </c>
      <c r="H476" s="25">
        <f>H477+H478</f>
        <v>0</v>
      </c>
      <c r="I476" s="51">
        <f>IFERROR(H476/$H$475,0)</f>
        <v>0</v>
      </c>
      <c r="J476" s="27">
        <f>J477+J478</f>
        <v>0</v>
      </c>
      <c r="K476" s="59">
        <f>IFERROR(J476/$J$475,0)</f>
        <v>0</v>
      </c>
      <c r="L476" s="63">
        <f t="shared" si="129"/>
        <v>0</v>
      </c>
      <c r="M476" s="64">
        <f t="shared" si="130"/>
        <v>0</v>
      </c>
      <c r="N476" s="63">
        <f t="shared" si="131"/>
        <v>0</v>
      </c>
      <c r="O476" s="64">
        <f t="shared" si="132"/>
        <v>0</v>
      </c>
      <c r="P476" s="18"/>
    </row>
    <row r="477" spans="1:16" ht="15.6" x14ac:dyDescent="0.3">
      <c r="A477" s="2" t="s">
        <v>17</v>
      </c>
      <c r="B477" s="8" t="s">
        <v>18</v>
      </c>
      <c r="C477" s="24"/>
      <c r="D477" s="46">
        <f t="shared" ref="D477:D515" si="133">IFERROR(C477/$C$475,0)</f>
        <v>0</v>
      </c>
      <c r="E477" s="24"/>
      <c r="F477" s="25"/>
      <c r="G477" s="51">
        <f t="shared" ref="G477:G515" si="134">IFERROR(F477/$F$475,0)</f>
        <v>0</v>
      </c>
      <c r="H477" s="25"/>
      <c r="I477" s="51">
        <f t="shared" ref="I477:I515" si="135">IFERROR(H477/$H$475,0)</f>
        <v>0</v>
      </c>
      <c r="J477" s="27"/>
      <c r="K477" s="59">
        <f t="shared" ref="K477:K515" si="136">IFERROR(J477/$J$475,0)</f>
        <v>0</v>
      </c>
      <c r="L477" s="63">
        <f t="shared" si="129"/>
        <v>0</v>
      </c>
      <c r="M477" s="64">
        <f t="shared" si="130"/>
        <v>0</v>
      </c>
      <c r="N477" s="63">
        <f t="shared" si="131"/>
        <v>0</v>
      </c>
      <c r="O477" s="64">
        <f t="shared" si="132"/>
        <v>0</v>
      </c>
      <c r="P477" s="18"/>
    </row>
    <row r="478" spans="1:16" ht="15.6" x14ac:dyDescent="0.3">
      <c r="A478" s="18" t="s">
        <v>19</v>
      </c>
      <c r="B478" s="8" t="s">
        <v>20</v>
      </c>
      <c r="C478" s="24"/>
      <c r="D478" s="46">
        <f t="shared" si="133"/>
        <v>0</v>
      </c>
      <c r="E478" s="24"/>
      <c r="F478" s="25"/>
      <c r="G478" s="51">
        <f t="shared" si="134"/>
        <v>0</v>
      </c>
      <c r="H478" s="25"/>
      <c r="I478" s="51">
        <f t="shared" si="135"/>
        <v>0</v>
      </c>
      <c r="J478" s="27"/>
      <c r="K478" s="59">
        <f t="shared" si="136"/>
        <v>0</v>
      </c>
      <c r="L478" s="63">
        <f t="shared" si="129"/>
        <v>0</v>
      </c>
      <c r="M478" s="64">
        <f t="shared" si="130"/>
        <v>0</v>
      </c>
      <c r="N478" s="63">
        <f t="shared" si="131"/>
        <v>0</v>
      </c>
      <c r="O478" s="64">
        <f t="shared" si="132"/>
        <v>0</v>
      </c>
      <c r="P478" s="18"/>
    </row>
    <row r="479" spans="1:16" ht="15.6" x14ac:dyDescent="0.3">
      <c r="A479" s="2" t="s">
        <v>21</v>
      </c>
      <c r="B479" s="7" t="s">
        <v>22</v>
      </c>
      <c r="C479" s="24"/>
      <c r="D479" s="46">
        <f t="shared" si="133"/>
        <v>0</v>
      </c>
      <c r="E479" s="24"/>
      <c r="F479" s="25"/>
      <c r="G479" s="51">
        <f t="shared" si="134"/>
        <v>0</v>
      </c>
      <c r="H479" s="25"/>
      <c r="I479" s="51">
        <f t="shared" si="135"/>
        <v>0</v>
      </c>
      <c r="J479" s="27"/>
      <c r="K479" s="59">
        <f t="shared" si="136"/>
        <v>0</v>
      </c>
      <c r="L479" s="63">
        <f t="shared" si="129"/>
        <v>0</v>
      </c>
      <c r="M479" s="64">
        <f t="shared" si="130"/>
        <v>0</v>
      </c>
      <c r="N479" s="63">
        <f t="shared" si="131"/>
        <v>0</v>
      </c>
      <c r="O479" s="64">
        <f t="shared" si="132"/>
        <v>0</v>
      </c>
      <c r="P479" s="18"/>
    </row>
    <row r="480" spans="1:16" ht="15.6" x14ac:dyDescent="0.3">
      <c r="A480" s="2" t="s">
        <v>23</v>
      </c>
      <c r="B480" s="7" t="s">
        <v>24</v>
      </c>
      <c r="C480" s="24"/>
      <c r="D480" s="46">
        <f t="shared" si="133"/>
        <v>0</v>
      </c>
      <c r="E480" s="24"/>
      <c r="F480" s="25"/>
      <c r="G480" s="51">
        <f t="shared" si="134"/>
        <v>0</v>
      </c>
      <c r="H480" s="25"/>
      <c r="I480" s="51">
        <f t="shared" si="135"/>
        <v>0</v>
      </c>
      <c r="J480" s="27"/>
      <c r="K480" s="59">
        <f t="shared" si="136"/>
        <v>0</v>
      </c>
      <c r="L480" s="63">
        <f t="shared" si="129"/>
        <v>0</v>
      </c>
      <c r="M480" s="64">
        <f t="shared" si="130"/>
        <v>0</v>
      </c>
      <c r="N480" s="63">
        <f t="shared" si="131"/>
        <v>0</v>
      </c>
      <c r="O480" s="64">
        <f t="shared" si="132"/>
        <v>0</v>
      </c>
      <c r="P480" s="18"/>
    </row>
    <row r="481" spans="1:16" ht="15.6" x14ac:dyDescent="0.3">
      <c r="A481" s="2" t="s">
        <v>25</v>
      </c>
      <c r="B481" s="7" t="s">
        <v>26</v>
      </c>
      <c r="C481" s="24">
        <f>SUM(C482:C489)</f>
        <v>0</v>
      </c>
      <c r="D481" s="46">
        <f t="shared" si="133"/>
        <v>0</v>
      </c>
      <c r="E481" s="24">
        <f>SUM(E482:E489)</f>
        <v>0</v>
      </c>
      <c r="F481" s="25">
        <f>SUM(F482:F489)</f>
        <v>0</v>
      </c>
      <c r="G481" s="51">
        <f t="shared" si="134"/>
        <v>0</v>
      </c>
      <c r="H481" s="25">
        <f>SUM(H482:H489)</f>
        <v>0</v>
      </c>
      <c r="I481" s="51">
        <f t="shared" si="135"/>
        <v>0</v>
      </c>
      <c r="J481" s="27">
        <f>SUM(J482:J489)</f>
        <v>0</v>
      </c>
      <c r="K481" s="59">
        <f t="shared" si="136"/>
        <v>0</v>
      </c>
      <c r="L481" s="63">
        <f t="shared" si="129"/>
        <v>0</v>
      </c>
      <c r="M481" s="64">
        <f t="shared" si="130"/>
        <v>0</v>
      </c>
      <c r="N481" s="63">
        <f t="shared" si="131"/>
        <v>0</v>
      </c>
      <c r="O481" s="64">
        <f t="shared" si="132"/>
        <v>0</v>
      </c>
      <c r="P481" s="18"/>
    </row>
    <row r="482" spans="1:16" ht="15.6" x14ac:dyDescent="0.3">
      <c r="A482" s="2" t="s">
        <v>27</v>
      </c>
      <c r="B482" s="9" t="s">
        <v>28</v>
      </c>
      <c r="C482" s="24"/>
      <c r="D482" s="46">
        <f t="shared" si="133"/>
        <v>0</v>
      </c>
      <c r="E482" s="24"/>
      <c r="F482" s="25"/>
      <c r="G482" s="51">
        <f t="shared" si="134"/>
        <v>0</v>
      </c>
      <c r="H482" s="25"/>
      <c r="I482" s="51">
        <f t="shared" si="135"/>
        <v>0</v>
      </c>
      <c r="J482" s="27"/>
      <c r="K482" s="59">
        <f t="shared" si="136"/>
        <v>0</v>
      </c>
      <c r="L482" s="63">
        <f t="shared" si="129"/>
        <v>0</v>
      </c>
      <c r="M482" s="64">
        <f t="shared" si="130"/>
        <v>0</v>
      </c>
      <c r="N482" s="63">
        <f t="shared" si="131"/>
        <v>0</v>
      </c>
      <c r="O482" s="64">
        <f t="shared" si="132"/>
        <v>0</v>
      </c>
      <c r="P482" s="18"/>
    </row>
    <row r="483" spans="1:16" ht="15.6" x14ac:dyDescent="0.3">
      <c r="A483" s="2" t="s">
        <v>29</v>
      </c>
      <c r="B483" s="9" t="s">
        <v>30</v>
      </c>
      <c r="C483" s="24"/>
      <c r="D483" s="46">
        <f t="shared" si="133"/>
        <v>0</v>
      </c>
      <c r="E483" s="24"/>
      <c r="F483" s="25"/>
      <c r="G483" s="51">
        <f t="shared" si="134"/>
        <v>0</v>
      </c>
      <c r="H483" s="25"/>
      <c r="I483" s="51">
        <f t="shared" si="135"/>
        <v>0</v>
      </c>
      <c r="J483" s="27"/>
      <c r="K483" s="59">
        <f t="shared" si="136"/>
        <v>0</v>
      </c>
      <c r="L483" s="63">
        <f t="shared" si="129"/>
        <v>0</v>
      </c>
      <c r="M483" s="64">
        <f t="shared" si="130"/>
        <v>0</v>
      </c>
      <c r="N483" s="63">
        <f t="shared" si="131"/>
        <v>0</v>
      </c>
      <c r="O483" s="64">
        <f t="shared" si="132"/>
        <v>0</v>
      </c>
      <c r="P483" s="18"/>
    </row>
    <row r="484" spans="1:16" ht="15.6" x14ac:dyDescent="0.3">
      <c r="A484" s="2" t="s">
        <v>31</v>
      </c>
      <c r="B484" s="9" t="s">
        <v>32</v>
      </c>
      <c r="C484" s="24"/>
      <c r="D484" s="46">
        <f t="shared" si="133"/>
        <v>0</v>
      </c>
      <c r="E484" s="24"/>
      <c r="F484" s="25"/>
      <c r="G484" s="51">
        <f t="shared" si="134"/>
        <v>0</v>
      </c>
      <c r="H484" s="25"/>
      <c r="I484" s="51">
        <f t="shared" si="135"/>
        <v>0</v>
      </c>
      <c r="J484" s="27"/>
      <c r="K484" s="59">
        <f t="shared" si="136"/>
        <v>0</v>
      </c>
      <c r="L484" s="63">
        <f t="shared" si="129"/>
        <v>0</v>
      </c>
      <c r="M484" s="64">
        <f t="shared" si="130"/>
        <v>0</v>
      </c>
      <c r="N484" s="63">
        <f t="shared" si="131"/>
        <v>0</v>
      </c>
      <c r="O484" s="64">
        <f t="shared" si="132"/>
        <v>0</v>
      </c>
      <c r="P484" s="18"/>
    </row>
    <row r="485" spans="1:16" ht="15.6" x14ac:dyDescent="0.3">
      <c r="A485" s="2" t="s">
        <v>33</v>
      </c>
      <c r="B485" s="9" t="s">
        <v>34</v>
      </c>
      <c r="C485" s="24"/>
      <c r="D485" s="46">
        <f t="shared" si="133"/>
        <v>0</v>
      </c>
      <c r="E485" s="24"/>
      <c r="F485" s="25"/>
      <c r="G485" s="51">
        <f t="shared" si="134"/>
        <v>0</v>
      </c>
      <c r="H485" s="25"/>
      <c r="I485" s="51">
        <f t="shared" si="135"/>
        <v>0</v>
      </c>
      <c r="J485" s="27"/>
      <c r="K485" s="59">
        <f t="shared" si="136"/>
        <v>0</v>
      </c>
      <c r="L485" s="63">
        <f t="shared" si="129"/>
        <v>0</v>
      </c>
      <c r="M485" s="64">
        <f t="shared" si="130"/>
        <v>0</v>
      </c>
      <c r="N485" s="63">
        <f t="shared" si="131"/>
        <v>0</v>
      </c>
      <c r="O485" s="64">
        <f t="shared" si="132"/>
        <v>0</v>
      </c>
      <c r="P485" s="18"/>
    </row>
    <row r="486" spans="1:16" ht="15.6" x14ac:dyDescent="0.3">
      <c r="A486" s="2" t="s">
        <v>35</v>
      </c>
      <c r="B486" s="9" t="s">
        <v>36</v>
      </c>
      <c r="C486" s="24"/>
      <c r="D486" s="46">
        <f t="shared" si="133"/>
        <v>0</v>
      </c>
      <c r="E486" s="24"/>
      <c r="F486" s="25"/>
      <c r="G486" s="51">
        <f t="shared" si="134"/>
        <v>0</v>
      </c>
      <c r="H486" s="25"/>
      <c r="I486" s="51">
        <f t="shared" si="135"/>
        <v>0</v>
      </c>
      <c r="J486" s="27"/>
      <c r="K486" s="59">
        <f t="shared" si="136"/>
        <v>0</v>
      </c>
      <c r="L486" s="63">
        <f t="shared" si="129"/>
        <v>0</v>
      </c>
      <c r="M486" s="64">
        <f t="shared" si="130"/>
        <v>0</v>
      </c>
      <c r="N486" s="63">
        <f t="shared" si="131"/>
        <v>0</v>
      </c>
      <c r="O486" s="64">
        <f t="shared" si="132"/>
        <v>0</v>
      </c>
      <c r="P486" s="18"/>
    </row>
    <row r="487" spans="1:16" ht="27.6" x14ac:dyDescent="0.3">
      <c r="A487" s="2" t="s">
        <v>37</v>
      </c>
      <c r="B487" s="9" t="s">
        <v>38</v>
      </c>
      <c r="C487" s="24"/>
      <c r="D487" s="46">
        <f t="shared" si="133"/>
        <v>0</v>
      </c>
      <c r="E487" s="24"/>
      <c r="F487" s="25"/>
      <c r="G487" s="51">
        <f t="shared" si="134"/>
        <v>0</v>
      </c>
      <c r="H487" s="25"/>
      <c r="I487" s="51">
        <f t="shared" si="135"/>
        <v>0</v>
      </c>
      <c r="J487" s="27"/>
      <c r="K487" s="59">
        <f t="shared" si="136"/>
        <v>0</v>
      </c>
      <c r="L487" s="63">
        <f t="shared" si="129"/>
        <v>0</v>
      </c>
      <c r="M487" s="64">
        <f t="shared" si="130"/>
        <v>0</v>
      </c>
      <c r="N487" s="63">
        <f t="shared" si="131"/>
        <v>0</v>
      </c>
      <c r="O487" s="64">
        <f t="shared" si="132"/>
        <v>0</v>
      </c>
      <c r="P487" s="18"/>
    </row>
    <row r="488" spans="1:16" ht="15.6" x14ac:dyDescent="0.3">
      <c r="A488" s="2" t="s">
        <v>39</v>
      </c>
      <c r="B488" s="9" t="s">
        <v>40</v>
      </c>
      <c r="C488" s="24"/>
      <c r="D488" s="46">
        <f t="shared" si="133"/>
        <v>0</v>
      </c>
      <c r="E488" s="24"/>
      <c r="F488" s="25"/>
      <c r="G488" s="51">
        <f t="shared" si="134"/>
        <v>0</v>
      </c>
      <c r="H488" s="25"/>
      <c r="I488" s="51">
        <f t="shared" si="135"/>
        <v>0</v>
      </c>
      <c r="J488" s="27"/>
      <c r="K488" s="59">
        <f t="shared" si="136"/>
        <v>0</v>
      </c>
      <c r="L488" s="63">
        <f t="shared" si="129"/>
        <v>0</v>
      </c>
      <c r="M488" s="64">
        <f t="shared" si="130"/>
        <v>0</v>
      </c>
      <c r="N488" s="63">
        <f t="shared" si="131"/>
        <v>0</v>
      </c>
      <c r="O488" s="64">
        <f t="shared" si="132"/>
        <v>0</v>
      </c>
      <c r="P488" s="18"/>
    </row>
    <row r="489" spans="1:16" ht="15.6" x14ac:dyDescent="0.3">
      <c r="A489" s="2" t="s">
        <v>41</v>
      </c>
      <c r="B489" s="9" t="s">
        <v>42</v>
      </c>
      <c r="C489" s="24"/>
      <c r="D489" s="46">
        <f t="shared" si="133"/>
        <v>0</v>
      </c>
      <c r="E489" s="24"/>
      <c r="F489" s="25"/>
      <c r="G489" s="51">
        <f t="shared" si="134"/>
        <v>0</v>
      </c>
      <c r="H489" s="25"/>
      <c r="I489" s="51">
        <f t="shared" si="135"/>
        <v>0</v>
      </c>
      <c r="J489" s="27"/>
      <c r="K489" s="59">
        <f t="shared" si="136"/>
        <v>0</v>
      </c>
      <c r="L489" s="63">
        <f t="shared" si="129"/>
        <v>0</v>
      </c>
      <c r="M489" s="64">
        <f t="shared" si="130"/>
        <v>0</v>
      </c>
      <c r="N489" s="63">
        <f t="shared" si="131"/>
        <v>0</v>
      </c>
      <c r="O489" s="64">
        <f t="shared" si="132"/>
        <v>0</v>
      </c>
      <c r="P489" s="18"/>
    </row>
    <row r="490" spans="1:16" ht="15.6" x14ac:dyDescent="0.3">
      <c r="A490" s="2" t="s">
        <v>43</v>
      </c>
      <c r="B490" s="7" t="s">
        <v>44</v>
      </c>
      <c r="C490" s="24"/>
      <c r="D490" s="46">
        <f t="shared" si="133"/>
        <v>0</v>
      </c>
      <c r="E490" s="24"/>
      <c r="F490" s="25"/>
      <c r="G490" s="51">
        <f t="shared" si="134"/>
        <v>0</v>
      </c>
      <c r="H490" s="25"/>
      <c r="I490" s="51">
        <f t="shared" si="135"/>
        <v>0</v>
      </c>
      <c r="J490" s="27"/>
      <c r="K490" s="59">
        <f t="shared" si="136"/>
        <v>0</v>
      </c>
      <c r="L490" s="63">
        <f t="shared" si="129"/>
        <v>0</v>
      </c>
      <c r="M490" s="64">
        <f t="shared" si="130"/>
        <v>0</v>
      </c>
      <c r="N490" s="63">
        <f t="shared" si="131"/>
        <v>0</v>
      </c>
      <c r="O490" s="64">
        <f t="shared" si="132"/>
        <v>0</v>
      </c>
      <c r="P490" s="18"/>
    </row>
    <row r="491" spans="1:16" ht="15.6" x14ac:dyDescent="0.3">
      <c r="A491" s="2" t="s">
        <v>45</v>
      </c>
      <c r="B491" s="7" t="s">
        <v>46</v>
      </c>
      <c r="C491" s="24"/>
      <c r="D491" s="46">
        <f t="shared" si="133"/>
        <v>0</v>
      </c>
      <c r="E491" s="24"/>
      <c r="F491" s="25"/>
      <c r="G491" s="51">
        <f t="shared" si="134"/>
        <v>0</v>
      </c>
      <c r="H491" s="25"/>
      <c r="I491" s="51">
        <f t="shared" si="135"/>
        <v>0</v>
      </c>
      <c r="J491" s="27"/>
      <c r="K491" s="59">
        <f t="shared" si="136"/>
        <v>0</v>
      </c>
      <c r="L491" s="63">
        <f t="shared" si="129"/>
        <v>0</v>
      </c>
      <c r="M491" s="64">
        <f t="shared" si="130"/>
        <v>0</v>
      </c>
      <c r="N491" s="63">
        <f t="shared" si="131"/>
        <v>0</v>
      </c>
      <c r="O491" s="64">
        <f t="shared" si="132"/>
        <v>0</v>
      </c>
      <c r="P491" s="18"/>
    </row>
    <row r="492" spans="1:16" s="16" customFormat="1" ht="15.6" x14ac:dyDescent="0.3">
      <c r="A492" s="14" t="s">
        <v>47</v>
      </c>
      <c r="B492" s="22" t="s">
        <v>48</v>
      </c>
      <c r="C492" s="66">
        <f>SUM(C493:C515)</f>
        <v>0</v>
      </c>
      <c r="D492" s="46">
        <f t="shared" si="133"/>
        <v>0</v>
      </c>
      <c r="E492" s="66">
        <f>SUM(E493:E515)</f>
        <v>0</v>
      </c>
      <c r="F492" s="67">
        <f>SUM(F493:F515)</f>
        <v>0</v>
      </c>
      <c r="G492" s="51">
        <f t="shared" si="134"/>
        <v>0</v>
      </c>
      <c r="H492" s="67">
        <f>SUM(H493:H515)</f>
        <v>0</v>
      </c>
      <c r="I492" s="51">
        <f t="shared" si="135"/>
        <v>0</v>
      </c>
      <c r="J492" s="23">
        <f>SUM(J493:J515)</f>
        <v>0</v>
      </c>
      <c r="K492" s="59">
        <f t="shared" si="136"/>
        <v>0</v>
      </c>
      <c r="L492" s="63">
        <f t="shared" si="129"/>
        <v>0</v>
      </c>
      <c r="M492" s="64">
        <f t="shared" si="130"/>
        <v>0</v>
      </c>
      <c r="N492" s="63">
        <f t="shared" si="131"/>
        <v>0</v>
      </c>
      <c r="O492" s="64">
        <f t="shared" si="132"/>
        <v>0</v>
      </c>
      <c r="P492" s="18"/>
    </row>
    <row r="493" spans="1:16" ht="15.6" x14ac:dyDescent="0.3">
      <c r="A493" s="2" t="s">
        <v>49</v>
      </c>
      <c r="B493" s="10" t="s">
        <v>50</v>
      </c>
      <c r="C493" s="29"/>
      <c r="D493" s="46">
        <f t="shared" si="133"/>
        <v>0</v>
      </c>
      <c r="E493" s="24"/>
      <c r="F493" s="25"/>
      <c r="G493" s="51">
        <f t="shared" si="134"/>
        <v>0</v>
      </c>
      <c r="H493" s="25"/>
      <c r="I493" s="51">
        <f t="shared" si="135"/>
        <v>0</v>
      </c>
      <c r="J493" s="27"/>
      <c r="K493" s="59">
        <f t="shared" si="136"/>
        <v>0</v>
      </c>
      <c r="L493" s="63">
        <f t="shared" si="129"/>
        <v>0</v>
      </c>
      <c r="M493" s="64">
        <f t="shared" si="130"/>
        <v>0</v>
      </c>
      <c r="N493" s="63">
        <f t="shared" si="131"/>
        <v>0</v>
      </c>
      <c r="O493" s="64">
        <f t="shared" si="132"/>
        <v>0</v>
      </c>
      <c r="P493" s="18"/>
    </row>
    <row r="494" spans="1:16" ht="15.6" x14ac:dyDescent="0.3">
      <c r="A494" s="2" t="s">
        <v>51</v>
      </c>
      <c r="B494" s="10" t="s">
        <v>52</v>
      </c>
      <c r="C494" s="24"/>
      <c r="D494" s="46">
        <f t="shared" si="133"/>
        <v>0</v>
      </c>
      <c r="E494" s="24"/>
      <c r="F494" s="25"/>
      <c r="G494" s="51">
        <f t="shared" si="134"/>
        <v>0</v>
      </c>
      <c r="H494" s="25"/>
      <c r="I494" s="51">
        <f t="shared" si="135"/>
        <v>0</v>
      </c>
      <c r="J494" s="27"/>
      <c r="K494" s="59">
        <f t="shared" si="136"/>
        <v>0</v>
      </c>
      <c r="L494" s="63">
        <f t="shared" si="129"/>
        <v>0</v>
      </c>
      <c r="M494" s="64">
        <f t="shared" si="130"/>
        <v>0</v>
      </c>
      <c r="N494" s="63">
        <f t="shared" si="131"/>
        <v>0</v>
      </c>
      <c r="O494" s="64">
        <f t="shared" si="132"/>
        <v>0</v>
      </c>
      <c r="P494" s="18"/>
    </row>
    <row r="495" spans="1:16" ht="15.6" x14ac:dyDescent="0.3">
      <c r="A495" s="2" t="s">
        <v>53</v>
      </c>
      <c r="B495" s="10" t="s">
        <v>54</v>
      </c>
      <c r="C495" s="24"/>
      <c r="D495" s="46">
        <f t="shared" si="133"/>
        <v>0</v>
      </c>
      <c r="E495" s="24"/>
      <c r="F495" s="25"/>
      <c r="G495" s="51">
        <f t="shared" si="134"/>
        <v>0</v>
      </c>
      <c r="H495" s="25"/>
      <c r="I495" s="51">
        <f t="shared" si="135"/>
        <v>0</v>
      </c>
      <c r="J495" s="27"/>
      <c r="K495" s="59">
        <f t="shared" si="136"/>
        <v>0</v>
      </c>
      <c r="L495" s="63">
        <f t="shared" si="129"/>
        <v>0</v>
      </c>
      <c r="M495" s="64">
        <f t="shared" si="130"/>
        <v>0</v>
      </c>
      <c r="N495" s="63">
        <f t="shared" si="131"/>
        <v>0</v>
      </c>
      <c r="O495" s="64">
        <f t="shared" si="132"/>
        <v>0</v>
      </c>
      <c r="P495" s="18"/>
    </row>
    <row r="496" spans="1:16" ht="15.6" x14ac:dyDescent="0.3">
      <c r="A496" s="2" t="s">
        <v>55</v>
      </c>
      <c r="B496" s="10" t="s">
        <v>56</v>
      </c>
      <c r="C496" s="24"/>
      <c r="D496" s="46">
        <f t="shared" si="133"/>
        <v>0</v>
      </c>
      <c r="E496" s="24"/>
      <c r="F496" s="25"/>
      <c r="G496" s="51">
        <f t="shared" si="134"/>
        <v>0</v>
      </c>
      <c r="H496" s="25"/>
      <c r="I496" s="51">
        <f t="shared" si="135"/>
        <v>0</v>
      </c>
      <c r="J496" s="27"/>
      <c r="K496" s="59">
        <f t="shared" si="136"/>
        <v>0</v>
      </c>
      <c r="L496" s="63">
        <f t="shared" si="129"/>
        <v>0</v>
      </c>
      <c r="M496" s="64">
        <f t="shared" si="130"/>
        <v>0</v>
      </c>
      <c r="N496" s="63">
        <f t="shared" si="131"/>
        <v>0</v>
      </c>
      <c r="O496" s="64">
        <f t="shared" si="132"/>
        <v>0</v>
      </c>
      <c r="P496" s="18"/>
    </row>
    <row r="497" spans="1:16" ht="15.6" x14ac:dyDescent="0.3">
      <c r="A497" s="2" t="s">
        <v>57</v>
      </c>
      <c r="B497" s="10" t="s">
        <v>58</v>
      </c>
      <c r="C497" s="29"/>
      <c r="D497" s="46">
        <f t="shared" si="133"/>
        <v>0</v>
      </c>
      <c r="E497" s="24"/>
      <c r="F497" s="25"/>
      <c r="G497" s="51">
        <f t="shared" si="134"/>
        <v>0</v>
      </c>
      <c r="H497" s="25"/>
      <c r="I497" s="51">
        <f t="shared" si="135"/>
        <v>0</v>
      </c>
      <c r="J497" s="27"/>
      <c r="K497" s="59">
        <f t="shared" si="136"/>
        <v>0</v>
      </c>
      <c r="L497" s="63">
        <f t="shared" si="129"/>
        <v>0</v>
      </c>
      <c r="M497" s="64">
        <f t="shared" si="130"/>
        <v>0</v>
      </c>
      <c r="N497" s="63">
        <f t="shared" si="131"/>
        <v>0</v>
      </c>
      <c r="O497" s="64">
        <f t="shared" si="132"/>
        <v>0</v>
      </c>
      <c r="P497" s="18"/>
    </row>
    <row r="498" spans="1:16" ht="15.6" x14ac:dyDescent="0.3">
      <c r="A498" s="2" t="s">
        <v>59</v>
      </c>
      <c r="B498" s="10" t="s">
        <v>60</v>
      </c>
      <c r="C498" s="24"/>
      <c r="D498" s="46">
        <f t="shared" si="133"/>
        <v>0</v>
      </c>
      <c r="E498" s="24"/>
      <c r="F498" s="25"/>
      <c r="G498" s="51">
        <f t="shared" si="134"/>
        <v>0</v>
      </c>
      <c r="H498" s="25"/>
      <c r="I498" s="51">
        <f t="shared" si="135"/>
        <v>0</v>
      </c>
      <c r="J498" s="27"/>
      <c r="K498" s="59">
        <f t="shared" si="136"/>
        <v>0</v>
      </c>
      <c r="L498" s="63">
        <f t="shared" si="129"/>
        <v>0</v>
      </c>
      <c r="M498" s="64">
        <f t="shared" si="130"/>
        <v>0</v>
      </c>
      <c r="N498" s="63">
        <f t="shared" si="131"/>
        <v>0</v>
      </c>
      <c r="O498" s="64">
        <f t="shared" si="132"/>
        <v>0</v>
      </c>
      <c r="P498" s="18"/>
    </row>
    <row r="499" spans="1:16" ht="15.6" x14ac:dyDescent="0.3">
      <c r="A499" s="2" t="s">
        <v>61</v>
      </c>
      <c r="B499" s="10" t="s">
        <v>62</v>
      </c>
      <c r="C499" s="29"/>
      <c r="D499" s="46">
        <f t="shared" si="133"/>
        <v>0</v>
      </c>
      <c r="E499" s="24"/>
      <c r="F499" s="25"/>
      <c r="G499" s="51">
        <f t="shared" si="134"/>
        <v>0</v>
      </c>
      <c r="H499" s="25"/>
      <c r="I499" s="51">
        <f t="shared" si="135"/>
        <v>0</v>
      </c>
      <c r="J499" s="27"/>
      <c r="K499" s="59">
        <f t="shared" si="136"/>
        <v>0</v>
      </c>
      <c r="L499" s="63">
        <f t="shared" si="129"/>
        <v>0</v>
      </c>
      <c r="M499" s="64">
        <f t="shared" si="130"/>
        <v>0</v>
      </c>
      <c r="N499" s="63">
        <f t="shared" si="131"/>
        <v>0</v>
      </c>
      <c r="O499" s="64">
        <f t="shared" si="132"/>
        <v>0</v>
      </c>
      <c r="P499" s="18"/>
    </row>
    <row r="500" spans="1:16" ht="15.6" x14ac:dyDescent="0.3">
      <c r="A500" s="2" t="s">
        <v>63</v>
      </c>
      <c r="B500" s="10" t="s">
        <v>64</v>
      </c>
      <c r="C500" s="24"/>
      <c r="D500" s="46">
        <f t="shared" si="133"/>
        <v>0</v>
      </c>
      <c r="E500" s="24"/>
      <c r="F500" s="25"/>
      <c r="G500" s="51">
        <f t="shared" si="134"/>
        <v>0</v>
      </c>
      <c r="H500" s="25"/>
      <c r="I500" s="51">
        <f t="shared" si="135"/>
        <v>0</v>
      </c>
      <c r="J500" s="27"/>
      <c r="K500" s="59">
        <f t="shared" si="136"/>
        <v>0</v>
      </c>
      <c r="L500" s="63">
        <f t="shared" si="129"/>
        <v>0</v>
      </c>
      <c r="M500" s="64">
        <f t="shared" si="130"/>
        <v>0</v>
      </c>
      <c r="N500" s="63">
        <f t="shared" si="131"/>
        <v>0</v>
      </c>
      <c r="O500" s="64">
        <f t="shared" si="132"/>
        <v>0</v>
      </c>
      <c r="P500" s="18"/>
    </row>
    <row r="501" spans="1:16" ht="15.6" x14ac:dyDescent="0.3">
      <c r="A501" s="2" t="s">
        <v>65</v>
      </c>
      <c r="B501" s="10" t="s">
        <v>66</v>
      </c>
      <c r="C501" s="29"/>
      <c r="D501" s="46">
        <f t="shared" si="133"/>
        <v>0</v>
      </c>
      <c r="E501" s="24"/>
      <c r="F501" s="25"/>
      <c r="G501" s="51">
        <f t="shared" si="134"/>
        <v>0</v>
      </c>
      <c r="H501" s="25"/>
      <c r="I501" s="51">
        <f t="shared" si="135"/>
        <v>0</v>
      </c>
      <c r="J501" s="27"/>
      <c r="K501" s="59">
        <f t="shared" si="136"/>
        <v>0</v>
      </c>
      <c r="L501" s="63">
        <f t="shared" si="129"/>
        <v>0</v>
      </c>
      <c r="M501" s="64">
        <f t="shared" si="130"/>
        <v>0</v>
      </c>
      <c r="N501" s="63">
        <f t="shared" si="131"/>
        <v>0</v>
      </c>
      <c r="O501" s="64">
        <f t="shared" si="132"/>
        <v>0</v>
      </c>
      <c r="P501" s="18"/>
    </row>
    <row r="502" spans="1:16" ht="15.6" x14ac:dyDescent="0.3">
      <c r="A502" s="2" t="s">
        <v>67</v>
      </c>
      <c r="B502" s="10" t="s">
        <v>68</v>
      </c>
      <c r="C502" s="29"/>
      <c r="D502" s="46">
        <f t="shared" si="133"/>
        <v>0</v>
      </c>
      <c r="E502" s="24"/>
      <c r="F502" s="25"/>
      <c r="G502" s="51">
        <f t="shared" si="134"/>
        <v>0</v>
      </c>
      <c r="H502" s="25"/>
      <c r="I502" s="51">
        <f t="shared" si="135"/>
        <v>0</v>
      </c>
      <c r="J502" s="27"/>
      <c r="K502" s="59">
        <f t="shared" si="136"/>
        <v>0</v>
      </c>
      <c r="L502" s="63">
        <f t="shared" si="129"/>
        <v>0</v>
      </c>
      <c r="M502" s="64">
        <f t="shared" si="130"/>
        <v>0</v>
      </c>
      <c r="N502" s="63">
        <f t="shared" si="131"/>
        <v>0</v>
      </c>
      <c r="O502" s="64">
        <f t="shared" si="132"/>
        <v>0</v>
      </c>
      <c r="P502" s="18"/>
    </row>
    <row r="503" spans="1:16" ht="15.6" x14ac:dyDescent="0.3">
      <c r="A503" s="2" t="s">
        <v>69</v>
      </c>
      <c r="B503" s="10" t="s">
        <v>70</v>
      </c>
      <c r="C503" s="29"/>
      <c r="D503" s="46">
        <f t="shared" si="133"/>
        <v>0</v>
      </c>
      <c r="E503" s="24"/>
      <c r="F503" s="25"/>
      <c r="G503" s="51">
        <f t="shared" si="134"/>
        <v>0</v>
      </c>
      <c r="H503" s="25"/>
      <c r="I503" s="51">
        <f t="shared" si="135"/>
        <v>0</v>
      </c>
      <c r="J503" s="27"/>
      <c r="K503" s="59">
        <f t="shared" si="136"/>
        <v>0</v>
      </c>
      <c r="L503" s="63">
        <f t="shared" si="129"/>
        <v>0</v>
      </c>
      <c r="M503" s="64">
        <f t="shared" si="130"/>
        <v>0</v>
      </c>
      <c r="N503" s="63">
        <f t="shared" si="131"/>
        <v>0</v>
      </c>
      <c r="O503" s="64">
        <f t="shared" si="132"/>
        <v>0</v>
      </c>
      <c r="P503" s="18"/>
    </row>
    <row r="504" spans="1:16" ht="15.6" x14ac:dyDescent="0.3">
      <c r="A504" s="31" t="s">
        <v>71</v>
      </c>
      <c r="B504" s="10" t="s">
        <v>72</v>
      </c>
      <c r="C504" s="29"/>
      <c r="D504" s="46">
        <f t="shared" si="133"/>
        <v>0</v>
      </c>
      <c r="E504" s="24"/>
      <c r="F504" s="25"/>
      <c r="G504" s="51">
        <f t="shared" si="134"/>
        <v>0</v>
      </c>
      <c r="H504" s="25"/>
      <c r="I504" s="51">
        <f t="shared" si="135"/>
        <v>0</v>
      </c>
      <c r="J504" s="27"/>
      <c r="K504" s="59">
        <f t="shared" si="136"/>
        <v>0</v>
      </c>
      <c r="L504" s="63">
        <f t="shared" si="129"/>
        <v>0</v>
      </c>
      <c r="M504" s="64">
        <f t="shared" si="130"/>
        <v>0</v>
      </c>
      <c r="N504" s="63">
        <f t="shared" si="131"/>
        <v>0</v>
      </c>
      <c r="O504" s="64">
        <f t="shared" si="132"/>
        <v>0</v>
      </c>
      <c r="P504" s="18"/>
    </row>
    <row r="505" spans="1:16" ht="15.6" x14ac:dyDescent="0.3">
      <c r="A505" s="2" t="s">
        <v>73</v>
      </c>
      <c r="B505" s="10" t="s">
        <v>74</v>
      </c>
      <c r="C505" s="24"/>
      <c r="D505" s="46">
        <f t="shared" si="133"/>
        <v>0</v>
      </c>
      <c r="E505" s="24"/>
      <c r="F505" s="25"/>
      <c r="G505" s="51">
        <f t="shared" si="134"/>
        <v>0</v>
      </c>
      <c r="H505" s="25"/>
      <c r="I505" s="51">
        <f t="shared" si="135"/>
        <v>0</v>
      </c>
      <c r="J505" s="27"/>
      <c r="K505" s="59">
        <f t="shared" si="136"/>
        <v>0</v>
      </c>
      <c r="L505" s="63">
        <f t="shared" si="129"/>
        <v>0</v>
      </c>
      <c r="M505" s="64">
        <f t="shared" si="130"/>
        <v>0</v>
      </c>
      <c r="N505" s="63">
        <f t="shared" si="131"/>
        <v>0</v>
      </c>
      <c r="O505" s="64">
        <f t="shared" si="132"/>
        <v>0</v>
      </c>
      <c r="P505" s="18"/>
    </row>
    <row r="506" spans="1:16" ht="15.6" x14ac:dyDescent="0.3">
      <c r="A506" s="18" t="s">
        <v>75</v>
      </c>
      <c r="B506" s="10" t="s">
        <v>76</v>
      </c>
      <c r="C506" s="29"/>
      <c r="D506" s="46">
        <f t="shared" si="133"/>
        <v>0</v>
      </c>
      <c r="E506" s="24"/>
      <c r="F506" s="25"/>
      <c r="G506" s="51">
        <f t="shared" si="134"/>
        <v>0</v>
      </c>
      <c r="H506" s="25"/>
      <c r="I506" s="51">
        <f t="shared" si="135"/>
        <v>0</v>
      </c>
      <c r="J506" s="27"/>
      <c r="K506" s="59">
        <f t="shared" si="136"/>
        <v>0</v>
      </c>
      <c r="L506" s="63">
        <f t="shared" si="129"/>
        <v>0</v>
      </c>
      <c r="M506" s="64">
        <f t="shared" si="130"/>
        <v>0</v>
      </c>
      <c r="N506" s="63">
        <f t="shared" si="131"/>
        <v>0</v>
      </c>
      <c r="O506" s="64">
        <f t="shared" si="132"/>
        <v>0</v>
      </c>
      <c r="P506" s="18"/>
    </row>
    <row r="507" spans="1:16" ht="15.6" x14ac:dyDescent="0.3">
      <c r="A507" s="2" t="s">
        <v>77</v>
      </c>
      <c r="B507" s="10" t="s">
        <v>78</v>
      </c>
      <c r="C507" s="29"/>
      <c r="D507" s="46">
        <f t="shared" si="133"/>
        <v>0</v>
      </c>
      <c r="E507" s="24"/>
      <c r="F507" s="25"/>
      <c r="G507" s="51">
        <f t="shared" si="134"/>
        <v>0</v>
      </c>
      <c r="H507" s="25"/>
      <c r="I507" s="51">
        <f t="shared" si="135"/>
        <v>0</v>
      </c>
      <c r="J507" s="27"/>
      <c r="K507" s="59">
        <f t="shared" si="136"/>
        <v>0</v>
      </c>
      <c r="L507" s="63">
        <f t="shared" si="129"/>
        <v>0</v>
      </c>
      <c r="M507" s="64">
        <f t="shared" si="130"/>
        <v>0</v>
      </c>
      <c r="N507" s="63">
        <f t="shared" si="131"/>
        <v>0</v>
      </c>
      <c r="O507" s="64">
        <f t="shared" si="132"/>
        <v>0</v>
      </c>
      <c r="P507" s="18"/>
    </row>
    <row r="508" spans="1:16" ht="15.6" x14ac:dyDescent="0.3">
      <c r="A508" s="18" t="s">
        <v>79</v>
      </c>
      <c r="B508" s="10" t="s">
        <v>80</v>
      </c>
      <c r="C508" s="24"/>
      <c r="D508" s="46">
        <f t="shared" si="133"/>
        <v>0</v>
      </c>
      <c r="E508" s="24"/>
      <c r="F508" s="25"/>
      <c r="G508" s="51">
        <f t="shared" si="134"/>
        <v>0</v>
      </c>
      <c r="H508" s="25"/>
      <c r="I508" s="51">
        <f t="shared" si="135"/>
        <v>0</v>
      </c>
      <c r="J508" s="27"/>
      <c r="K508" s="59">
        <f t="shared" si="136"/>
        <v>0</v>
      </c>
      <c r="L508" s="63">
        <f t="shared" si="129"/>
        <v>0</v>
      </c>
      <c r="M508" s="64">
        <f t="shared" si="130"/>
        <v>0</v>
      </c>
      <c r="N508" s="63">
        <f t="shared" si="131"/>
        <v>0</v>
      </c>
      <c r="O508" s="64">
        <f t="shared" si="132"/>
        <v>0</v>
      </c>
      <c r="P508" s="18"/>
    </row>
    <row r="509" spans="1:16" ht="15.6" x14ac:dyDescent="0.3">
      <c r="A509" s="2" t="s">
        <v>81</v>
      </c>
      <c r="B509" s="10" t="s">
        <v>82</v>
      </c>
      <c r="C509" s="24"/>
      <c r="D509" s="46">
        <f t="shared" si="133"/>
        <v>0</v>
      </c>
      <c r="E509" s="24"/>
      <c r="F509" s="25"/>
      <c r="G509" s="51">
        <f t="shared" si="134"/>
        <v>0</v>
      </c>
      <c r="H509" s="25"/>
      <c r="I509" s="51">
        <f t="shared" si="135"/>
        <v>0</v>
      </c>
      <c r="J509" s="27"/>
      <c r="K509" s="59">
        <f t="shared" si="136"/>
        <v>0</v>
      </c>
      <c r="L509" s="63">
        <f t="shared" si="129"/>
        <v>0</v>
      </c>
      <c r="M509" s="64">
        <f t="shared" si="130"/>
        <v>0</v>
      </c>
      <c r="N509" s="63">
        <f t="shared" si="131"/>
        <v>0</v>
      </c>
      <c r="O509" s="64">
        <f t="shared" si="132"/>
        <v>0</v>
      </c>
      <c r="P509" s="18"/>
    </row>
    <row r="510" spans="1:16" ht="15.6" x14ac:dyDescent="0.3">
      <c r="A510" s="2" t="s">
        <v>83</v>
      </c>
      <c r="B510" s="10" t="s">
        <v>84</v>
      </c>
      <c r="C510" s="24"/>
      <c r="D510" s="46">
        <f t="shared" si="133"/>
        <v>0</v>
      </c>
      <c r="E510" s="24"/>
      <c r="F510" s="25"/>
      <c r="G510" s="51">
        <f t="shared" si="134"/>
        <v>0</v>
      </c>
      <c r="H510" s="25"/>
      <c r="I510" s="51">
        <f t="shared" si="135"/>
        <v>0</v>
      </c>
      <c r="J510" s="27"/>
      <c r="K510" s="59">
        <f t="shared" si="136"/>
        <v>0</v>
      </c>
      <c r="L510" s="63">
        <f t="shared" si="129"/>
        <v>0</v>
      </c>
      <c r="M510" s="64">
        <f t="shared" si="130"/>
        <v>0</v>
      </c>
      <c r="N510" s="63">
        <f t="shared" si="131"/>
        <v>0</v>
      </c>
      <c r="O510" s="64">
        <f t="shared" si="132"/>
        <v>0</v>
      </c>
      <c r="P510" s="18"/>
    </row>
    <row r="511" spans="1:16" ht="15.6" x14ac:dyDescent="0.3">
      <c r="A511" s="2" t="s">
        <v>85</v>
      </c>
      <c r="B511" s="10" t="s">
        <v>86</v>
      </c>
      <c r="C511" s="29"/>
      <c r="D511" s="46">
        <f t="shared" si="133"/>
        <v>0</v>
      </c>
      <c r="E511" s="24"/>
      <c r="F511" s="25"/>
      <c r="G511" s="51">
        <f t="shared" si="134"/>
        <v>0</v>
      </c>
      <c r="H511" s="25"/>
      <c r="I511" s="51">
        <f t="shared" si="135"/>
        <v>0</v>
      </c>
      <c r="J511" s="27"/>
      <c r="K511" s="59">
        <f t="shared" si="136"/>
        <v>0</v>
      </c>
      <c r="L511" s="63">
        <f t="shared" si="129"/>
        <v>0</v>
      </c>
      <c r="M511" s="64">
        <f t="shared" si="130"/>
        <v>0</v>
      </c>
      <c r="N511" s="63">
        <f t="shared" si="131"/>
        <v>0</v>
      </c>
      <c r="O511" s="64">
        <f t="shared" si="132"/>
        <v>0</v>
      </c>
      <c r="P511" s="18"/>
    </row>
    <row r="512" spans="1:16" ht="15.6" x14ac:dyDescent="0.3">
      <c r="A512" s="2" t="s">
        <v>87</v>
      </c>
      <c r="B512" s="10" t="s">
        <v>88</v>
      </c>
      <c r="C512" s="29"/>
      <c r="D512" s="46">
        <f t="shared" si="133"/>
        <v>0</v>
      </c>
      <c r="E512" s="24"/>
      <c r="F512" s="25"/>
      <c r="G512" s="51">
        <f t="shared" si="134"/>
        <v>0</v>
      </c>
      <c r="H512" s="25"/>
      <c r="I512" s="51">
        <f t="shared" si="135"/>
        <v>0</v>
      </c>
      <c r="J512" s="27"/>
      <c r="K512" s="59">
        <f t="shared" si="136"/>
        <v>0</v>
      </c>
      <c r="L512" s="63">
        <f t="shared" si="129"/>
        <v>0</v>
      </c>
      <c r="M512" s="64">
        <f t="shared" si="130"/>
        <v>0</v>
      </c>
      <c r="N512" s="63">
        <f t="shared" si="131"/>
        <v>0</v>
      </c>
      <c r="O512" s="64">
        <f t="shared" si="132"/>
        <v>0</v>
      </c>
      <c r="P512" s="18"/>
    </row>
    <row r="513" spans="1:16" ht="15.6" x14ac:dyDescent="0.3">
      <c r="A513" s="2" t="s">
        <v>89</v>
      </c>
      <c r="B513" s="10" t="s">
        <v>90</v>
      </c>
      <c r="C513" s="24"/>
      <c r="D513" s="46">
        <f t="shared" si="133"/>
        <v>0</v>
      </c>
      <c r="E513" s="24"/>
      <c r="F513" s="25"/>
      <c r="G513" s="51">
        <f t="shared" si="134"/>
        <v>0</v>
      </c>
      <c r="H513" s="25"/>
      <c r="I513" s="51">
        <f t="shared" si="135"/>
        <v>0</v>
      </c>
      <c r="J513" s="27"/>
      <c r="K513" s="59">
        <f t="shared" si="136"/>
        <v>0</v>
      </c>
      <c r="L513" s="63">
        <f t="shared" si="129"/>
        <v>0</v>
      </c>
      <c r="M513" s="64">
        <f t="shared" si="130"/>
        <v>0</v>
      </c>
      <c r="N513" s="63">
        <f t="shared" si="131"/>
        <v>0</v>
      </c>
      <c r="O513" s="64">
        <f t="shared" si="132"/>
        <v>0</v>
      </c>
      <c r="P513" s="18"/>
    </row>
    <row r="514" spans="1:16" ht="15.6" x14ac:dyDescent="0.3">
      <c r="A514" s="2" t="s">
        <v>91</v>
      </c>
      <c r="B514" s="10" t="s">
        <v>92</v>
      </c>
      <c r="C514" s="29"/>
      <c r="D514" s="46">
        <f t="shared" si="133"/>
        <v>0</v>
      </c>
      <c r="E514" s="24"/>
      <c r="F514" s="25"/>
      <c r="G514" s="51">
        <f t="shared" si="134"/>
        <v>0</v>
      </c>
      <c r="H514" s="25"/>
      <c r="I514" s="51">
        <f t="shared" si="135"/>
        <v>0</v>
      </c>
      <c r="J514" s="27"/>
      <c r="K514" s="59">
        <f t="shared" si="136"/>
        <v>0</v>
      </c>
      <c r="L514" s="63">
        <f t="shared" si="129"/>
        <v>0</v>
      </c>
      <c r="M514" s="64">
        <f t="shared" si="130"/>
        <v>0</v>
      </c>
      <c r="N514" s="63">
        <f t="shared" si="131"/>
        <v>0</v>
      </c>
      <c r="O514" s="64">
        <f t="shared" si="132"/>
        <v>0</v>
      </c>
      <c r="P514" s="18"/>
    </row>
    <row r="515" spans="1:16" ht="15.6" x14ac:dyDescent="0.3">
      <c r="A515" s="2" t="s">
        <v>93</v>
      </c>
      <c r="B515" s="10" t="s">
        <v>94</v>
      </c>
      <c r="C515" s="29"/>
      <c r="D515" s="46">
        <f t="shared" si="133"/>
        <v>0</v>
      </c>
      <c r="E515" s="24"/>
      <c r="F515" s="25"/>
      <c r="G515" s="51">
        <f t="shared" si="134"/>
        <v>0</v>
      </c>
      <c r="H515" s="25"/>
      <c r="I515" s="51">
        <f t="shared" si="135"/>
        <v>0</v>
      </c>
      <c r="J515" s="27"/>
      <c r="K515" s="59">
        <f t="shared" si="136"/>
        <v>0</v>
      </c>
      <c r="L515" s="63">
        <f t="shared" si="129"/>
        <v>0</v>
      </c>
      <c r="M515" s="64">
        <f t="shared" si="130"/>
        <v>0</v>
      </c>
      <c r="N515" s="63">
        <f t="shared" si="131"/>
        <v>0</v>
      </c>
      <c r="O515" s="64">
        <f t="shared" si="132"/>
        <v>0</v>
      </c>
      <c r="P515" s="18"/>
    </row>
    <row r="516" spans="1:16" ht="15.6" x14ac:dyDescent="0.3">
      <c r="A516" s="21" t="s">
        <v>95</v>
      </c>
      <c r="B516" s="22" t="s">
        <v>96</v>
      </c>
      <c r="C516" s="91">
        <f>C472-C475</f>
        <v>0</v>
      </c>
      <c r="D516" s="82"/>
      <c r="E516" s="66">
        <f>E472-E475</f>
        <v>0</v>
      </c>
      <c r="F516" s="92">
        <f>F472-F475</f>
        <v>0</v>
      </c>
      <c r="G516" s="82"/>
      <c r="H516" s="92">
        <f>H472-H475</f>
        <v>0</v>
      </c>
      <c r="I516" s="82"/>
      <c r="J516" s="89">
        <f>J472-J475</f>
        <v>0</v>
      </c>
      <c r="K516" s="82"/>
      <c r="L516" s="63">
        <f t="shared" si="129"/>
        <v>0</v>
      </c>
      <c r="M516" s="64">
        <f t="shared" si="130"/>
        <v>0</v>
      </c>
      <c r="N516" s="63">
        <f t="shared" si="131"/>
        <v>0</v>
      </c>
      <c r="O516" s="64">
        <f t="shared" si="132"/>
        <v>0</v>
      </c>
      <c r="P516" s="18"/>
    </row>
    <row r="517" spans="1:16" x14ac:dyDescent="0.3">
      <c r="A517" s="30" t="s">
        <v>97</v>
      </c>
      <c r="B517" s="11" t="s">
        <v>98</v>
      </c>
      <c r="C517" s="84">
        <f>IFERROR(C516/C472,0)</f>
        <v>0</v>
      </c>
      <c r="D517" s="77"/>
      <c r="E517" s="47">
        <f>IFERROR(E516/E472,0)</f>
        <v>0</v>
      </c>
      <c r="F517" s="76">
        <f>IFERROR(F516/F472,0)</f>
        <v>0</v>
      </c>
      <c r="G517" s="77"/>
      <c r="H517" s="76">
        <f>IFERROR(H516/H472,0)</f>
        <v>0</v>
      </c>
      <c r="I517" s="77"/>
      <c r="J517" s="80">
        <f>IFERROR(J516/J472,0)</f>
        <v>0</v>
      </c>
      <c r="K517" s="77"/>
    </row>
    <row r="518" spans="1:16" x14ac:dyDescent="0.3">
      <c r="A518" s="30" t="s">
        <v>99</v>
      </c>
      <c r="B518" s="11" t="s">
        <v>100</v>
      </c>
      <c r="C518" s="84">
        <f>IFERROR(C516/C520,0)</f>
        <v>0</v>
      </c>
      <c r="D518" s="77"/>
      <c r="E518" s="47">
        <f>IFERROR(E516/C520,0)</f>
        <v>0</v>
      </c>
      <c r="F518" s="76">
        <f t="shared" ref="F518" si="137">IFERROR(F516/F520,0)</f>
        <v>0</v>
      </c>
      <c r="G518" s="77"/>
      <c r="H518" s="76">
        <f t="shared" ref="H518" si="138">IFERROR(H516/H520,0)</f>
        <v>0</v>
      </c>
      <c r="I518" s="77"/>
      <c r="J518" s="80">
        <f t="shared" ref="J518" si="139">IFERROR(J516/J520,0)</f>
        <v>0</v>
      </c>
      <c r="K518" s="77"/>
    </row>
    <row r="519" spans="1:16" x14ac:dyDescent="0.3">
      <c r="A519" s="33" t="s">
        <v>101</v>
      </c>
      <c r="B519" s="11" t="s">
        <v>102</v>
      </c>
      <c r="C519" s="84">
        <f>IFERROR(C518*12,0)</f>
        <v>0</v>
      </c>
      <c r="D519" s="77"/>
      <c r="E519" s="47">
        <f>IFERROR(E518*12,0)</f>
        <v>0</v>
      </c>
      <c r="F519" s="76">
        <f t="shared" ref="F519" si="140">IFERROR(F518*12,0)</f>
        <v>0</v>
      </c>
      <c r="G519" s="77"/>
      <c r="H519" s="76">
        <f t="shared" ref="H519" si="141">IFERROR(H518*12,0)</f>
        <v>0</v>
      </c>
      <c r="I519" s="77"/>
      <c r="J519" s="80">
        <f t="shared" ref="J519" si="142">IFERROR(J518*12,0)</f>
        <v>0</v>
      </c>
      <c r="K519" s="77"/>
    </row>
    <row r="520" spans="1:16" x14ac:dyDescent="0.3">
      <c r="A520" s="33" t="s">
        <v>103</v>
      </c>
      <c r="B520" s="12" t="s">
        <v>104</v>
      </c>
      <c r="C520" s="78">
        <v>575926</v>
      </c>
      <c r="D520" s="79"/>
    </row>
    <row r="522" spans="1:16" ht="39.6" customHeight="1" x14ac:dyDescent="0.3">
      <c r="A522" s="74" t="s">
        <v>0</v>
      </c>
      <c r="B522" s="85" t="s">
        <v>115</v>
      </c>
      <c r="C522" s="93" t="s">
        <v>2</v>
      </c>
      <c r="D522" s="82"/>
      <c r="E522" s="90" t="s">
        <v>3</v>
      </c>
      <c r="F522" s="81" t="s">
        <v>4</v>
      </c>
      <c r="G522" s="82"/>
      <c r="H522" s="81" t="s">
        <v>5</v>
      </c>
      <c r="I522" s="82"/>
      <c r="J522" s="83" t="s">
        <v>6</v>
      </c>
      <c r="K522" s="82"/>
      <c r="L522" s="61" t="s">
        <v>129</v>
      </c>
      <c r="M522" s="62" t="s">
        <v>130</v>
      </c>
      <c r="N522" s="61" t="s">
        <v>131</v>
      </c>
      <c r="O522" s="62" t="s">
        <v>132</v>
      </c>
      <c r="P522" s="18" t="s">
        <v>122</v>
      </c>
    </row>
    <row r="523" spans="1:16" ht="27.6" x14ac:dyDescent="0.3">
      <c r="A523" s="75"/>
      <c r="B523" s="86"/>
      <c r="C523" s="39">
        <v>46204</v>
      </c>
      <c r="D523" s="44" t="s">
        <v>7</v>
      </c>
      <c r="E523" s="75"/>
      <c r="F523" s="40">
        <v>46235</v>
      </c>
      <c r="G523" s="49" t="s">
        <v>7</v>
      </c>
      <c r="H523" s="40">
        <v>46235</v>
      </c>
      <c r="I523" s="49" t="s">
        <v>7</v>
      </c>
      <c r="J523" s="41">
        <v>46266</v>
      </c>
      <c r="K523" s="55" t="s">
        <v>7</v>
      </c>
      <c r="L523" s="116">
        <f>F523</f>
        <v>46235</v>
      </c>
      <c r="M523" s="117"/>
      <c r="N523" s="116">
        <f>F523</f>
        <v>46235</v>
      </c>
      <c r="O523" s="117"/>
      <c r="P523" s="18"/>
    </row>
    <row r="524" spans="1:16" ht="15.6" x14ac:dyDescent="0.3">
      <c r="A524" s="14" t="s">
        <v>8</v>
      </c>
      <c r="B524" s="15" t="s">
        <v>124</v>
      </c>
      <c r="C524" s="66">
        <f>C525+C526</f>
        <v>0</v>
      </c>
      <c r="D524" s="45"/>
      <c r="E524" s="66">
        <f>E525+E526</f>
        <v>0</v>
      </c>
      <c r="F524" s="67">
        <f>F525+F526</f>
        <v>0</v>
      </c>
      <c r="G524" s="50"/>
      <c r="H524" s="67">
        <f>H525+H526</f>
        <v>0</v>
      </c>
      <c r="I524" s="52"/>
      <c r="J524" s="23">
        <f>J525+J526</f>
        <v>0</v>
      </c>
      <c r="K524" s="56"/>
      <c r="L524" s="63">
        <f>H524-F524</f>
        <v>0</v>
      </c>
      <c r="M524" s="64">
        <f>IFERROR(L524/F524,0)</f>
        <v>0</v>
      </c>
      <c r="N524" s="63">
        <f>H524-C524</f>
        <v>0</v>
      </c>
      <c r="O524" s="64">
        <f>IFERROR(N524/C524,0)</f>
        <v>0</v>
      </c>
      <c r="P524" s="19"/>
    </row>
    <row r="525" spans="1:16" ht="15.6" x14ac:dyDescent="0.3">
      <c r="A525" s="2" t="s">
        <v>9</v>
      </c>
      <c r="B525" s="6" t="s">
        <v>10</v>
      </c>
      <c r="C525" s="24"/>
      <c r="D525" s="46"/>
      <c r="E525" s="24"/>
      <c r="F525" s="25"/>
      <c r="G525" s="51"/>
      <c r="H525" s="26"/>
      <c r="I525" s="51"/>
      <c r="J525" s="27"/>
      <c r="K525" s="57"/>
      <c r="L525" s="63">
        <f t="shared" ref="L525:L568" si="143">H525-F525</f>
        <v>0</v>
      </c>
      <c r="M525" s="64">
        <f t="shared" ref="M525:M568" si="144">IFERROR(L525/F525,0)</f>
        <v>0</v>
      </c>
      <c r="N525" s="63">
        <f t="shared" ref="N525:N568" si="145">H525-C525</f>
        <v>0</v>
      </c>
      <c r="O525" s="64">
        <f t="shared" ref="O525:O568" si="146">IFERROR(N525/C525,0)</f>
        <v>0</v>
      </c>
      <c r="P525" s="19"/>
    </row>
    <row r="526" spans="1:16" ht="15.6" x14ac:dyDescent="0.3">
      <c r="A526" s="2" t="s">
        <v>11</v>
      </c>
      <c r="B526" s="6" t="s">
        <v>12</v>
      </c>
      <c r="C526" s="24"/>
      <c r="D526" s="46"/>
      <c r="E526" s="24"/>
      <c r="F526" s="25"/>
      <c r="G526" s="51"/>
      <c r="H526" s="25"/>
      <c r="I526" s="51"/>
      <c r="J526" s="27"/>
      <c r="K526" s="57"/>
      <c r="L526" s="63">
        <f t="shared" si="143"/>
        <v>0</v>
      </c>
      <c r="M526" s="64">
        <f t="shared" si="144"/>
        <v>0</v>
      </c>
      <c r="N526" s="63">
        <f t="shared" si="145"/>
        <v>0</v>
      </c>
      <c r="O526" s="64">
        <f t="shared" si="146"/>
        <v>0</v>
      </c>
      <c r="P526" s="65"/>
    </row>
    <row r="527" spans="1:16" ht="15.6" x14ac:dyDescent="0.3">
      <c r="A527" s="14" t="s">
        <v>13</v>
      </c>
      <c r="B527" s="22" t="s">
        <v>14</v>
      </c>
      <c r="C527" s="66">
        <f>C531+C532+C533+C542+C543+C544+C528</f>
        <v>0</v>
      </c>
      <c r="D527" s="45"/>
      <c r="E527" s="66">
        <f>E531+E532+E533+E542+E543+E544+E528</f>
        <v>0</v>
      </c>
      <c r="F527" s="67">
        <f>F531+F532+F533+F542+F543+F544+F528</f>
        <v>0</v>
      </c>
      <c r="G527" s="52"/>
      <c r="H527" s="67">
        <f>H531+H532+H533+H542+H543+H544+H528</f>
        <v>0</v>
      </c>
      <c r="I527" s="52"/>
      <c r="J527" s="23">
        <f>J531+J532+J533+J542+J543+J544+J528</f>
        <v>0</v>
      </c>
      <c r="K527" s="58"/>
      <c r="L527" s="63">
        <f t="shared" si="143"/>
        <v>0</v>
      </c>
      <c r="M527" s="64">
        <f t="shared" si="144"/>
        <v>0</v>
      </c>
      <c r="N527" s="63">
        <f t="shared" si="145"/>
        <v>0</v>
      </c>
      <c r="O527" s="64">
        <f t="shared" si="146"/>
        <v>0</v>
      </c>
      <c r="P527" s="18"/>
    </row>
    <row r="528" spans="1:16" ht="15.6" x14ac:dyDescent="0.3">
      <c r="A528" s="17" t="s">
        <v>15</v>
      </c>
      <c r="B528" s="7" t="s">
        <v>16</v>
      </c>
      <c r="C528" s="24">
        <f>C529+C530</f>
        <v>0</v>
      </c>
      <c r="D528" s="46">
        <f>IFERROR(C528/$C$527,0)</f>
        <v>0</v>
      </c>
      <c r="E528" s="24">
        <f>E530+E529</f>
        <v>0</v>
      </c>
      <c r="F528" s="25">
        <f>F530+F529</f>
        <v>0</v>
      </c>
      <c r="G528" s="51">
        <f>IFERROR(F528/$F$527,0)</f>
        <v>0</v>
      </c>
      <c r="H528" s="25">
        <f>H529+H530</f>
        <v>0</v>
      </c>
      <c r="I528" s="51">
        <f>IFERROR(H528/$H$527,0)</f>
        <v>0</v>
      </c>
      <c r="J528" s="27">
        <f>J529+J530</f>
        <v>0</v>
      </c>
      <c r="K528" s="59">
        <f>IFERROR(J528/$J$527,0)</f>
        <v>0</v>
      </c>
      <c r="L528" s="63">
        <f t="shared" si="143"/>
        <v>0</v>
      </c>
      <c r="M528" s="64">
        <f t="shared" si="144"/>
        <v>0</v>
      </c>
      <c r="N528" s="63">
        <f t="shared" si="145"/>
        <v>0</v>
      </c>
      <c r="O528" s="64">
        <f t="shared" si="146"/>
        <v>0</v>
      </c>
      <c r="P528" s="18"/>
    </row>
    <row r="529" spans="1:16" ht="15.6" x14ac:dyDescent="0.3">
      <c r="A529" s="2" t="s">
        <v>17</v>
      </c>
      <c r="B529" s="8" t="s">
        <v>18</v>
      </c>
      <c r="C529" s="24"/>
      <c r="D529" s="46">
        <f t="shared" ref="D529:D567" si="147">IFERROR(C529/$C$527,0)</f>
        <v>0</v>
      </c>
      <c r="E529" s="24"/>
      <c r="F529" s="25"/>
      <c r="G529" s="51">
        <f t="shared" ref="G529:G567" si="148">IFERROR(F529/$F$527,0)</f>
        <v>0</v>
      </c>
      <c r="H529" s="25"/>
      <c r="I529" s="51">
        <f t="shared" ref="I529:I567" si="149">IFERROR(H529/$H$527,0)</f>
        <v>0</v>
      </c>
      <c r="J529" s="27"/>
      <c r="K529" s="59">
        <f t="shared" ref="K529:K567" si="150">IFERROR(J529/$J$527,0)</f>
        <v>0</v>
      </c>
      <c r="L529" s="63">
        <f t="shared" si="143"/>
        <v>0</v>
      </c>
      <c r="M529" s="64">
        <f t="shared" si="144"/>
        <v>0</v>
      </c>
      <c r="N529" s="63">
        <f t="shared" si="145"/>
        <v>0</v>
      </c>
      <c r="O529" s="64">
        <f t="shared" si="146"/>
        <v>0</v>
      </c>
      <c r="P529" s="18"/>
    </row>
    <row r="530" spans="1:16" ht="15.6" x14ac:dyDescent="0.3">
      <c r="A530" s="18" t="s">
        <v>19</v>
      </c>
      <c r="B530" s="8" t="s">
        <v>20</v>
      </c>
      <c r="C530" s="24"/>
      <c r="D530" s="46">
        <f t="shared" si="147"/>
        <v>0</v>
      </c>
      <c r="E530" s="24"/>
      <c r="F530" s="25"/>
      <c r="G530" s="51">
        <f t="shared" si="148"/>
        <v>0</v>
      </c>
      <c r="H530" s="25"/>
      <c r="I530" s="51">
        <f t="shared" si="149"/>
        <v>0</v>
      </c>
      <c r="J530" s="27"/>
      <c r="K530" s="59">
        <f t="shared" si="150"/>
        <v>0</v>
      </c>
      <c r="L530" s="63">
        <f t="shared" si="143"/>
        <v>0</v>
      </c>
      <c r="M530" s="64">
        <f t="shared" si="144"/>
        <v>0</v>
      </c>
      <c r="N530" s="63">
        <f t="shared" si="145"/>
        <v>0</v>
      </c>
      <c r="O530" s="64">
        <f t="shared" si="146"/>
        <v>0</v>
      </c>
      <c r="P530" s="18"/>
    </row>
    <row r="531" spans="1:16" ht="15.6" x14ac:dyDescent="0.3">
      <c r="A531" s="2" t="s">
        <v>21</v>
      </c>
      <c r="B531" s="7" t="s">
        <v>22</v>
      </c>
      <c r="C531" s="24"/>
      <c r="D531" s="46">
        <f t="shared" si="147"/>
        <v>0</v>
      </c>
      <c r="E531" s="24"/>
      <c r="F531" s="25"/>
      <c r="G531" s="51">
        <f t="shared" si="148"/>
        <v>0</v>
      </c>
      <c r="H531" s="25"/>
      <c r="I531" s="51">
        <f t="shared" si="149"/>
        <v>0</v>
      </c>
      <c r="J531" s="27"/>
      <c r="K531" s="59">
        <f t="shared" si="150"/>
        <v>0</v>
      </c>
      <c r="L531" s="63">
        <f t="shared" si="143"/>
        <v>0</v>
      </c>
      <c r="M531" s="64">
        <f t="shared" si="144"/>
        <v>0</v>
      </c>
      <c r="N531" s="63">
        <f t="shared" si="145"/>
        <v>0</v>
      </c>
      <c r="O531" s="64">
        <f t="shared" si="146"/>
        <v>0</v>
      </c>
      <c r="P531" s="18"/>
    </row>
    <row r="532" spans="1:16" ht="15.6" x14ac:dyDescent="0.3">
      <c r="A532" s="2" t="s">
        <v>23</v>
      </c>
      <c r="B532" s="7" t="s">
        <v>24</v>
      </c>
      <c r="C532" s="24"/>
      <c r="D532" s="46">
        <f t="shared" si="147"/>
        <v>0</v>
      </c>
      <c r="E532" s="24"/>
      <c r="F532" s="25"/>
      <c r="G532" s="51">
        <f t="shared" si="148"/>
        <v>0</v>
      </c>
      <c r="H532" s="25"/>
      <c r="I532" s="51">
        <f t="shared" si="149"/>
        <v>0</v>
      </c>
      <c r="J532" s="27"/>
      <c r="K532" s="59">
        <f t="shared" si="150"/>
        <v>0</v>
      </c>
      <c r="L532" s="63">
        <f t="shared" si="143"/>
        <v>0</v>
      </c>
      <c r="M532" s="64">
        <f t="shared" si="144"/>
        <v>0</v>
      </c>
      <c r="N532" s="63">
        <f t="shared" si="145"/>
        <v>0</v>
      </c>
      <c r="O532" s="64">
        <f t="shared" si="146"/>
        <v>0</v>
      </c>
      <c r="P532" s="18"/>
    </row>
    <row r="533" spans="1:16" ht="15.6" x14ac:dyDescent="0.3">
      <c r="A533" s="2" t="s">
        <v>25</v>
      </c>
      <c r="B533" s="7" t="s">
        <v>26</v>
      </c>
      <c r="C533" s="24">
        <f>SUM(C534:C541)</f>
        <v>0</v>
      </c>
      <c r="D533" s="46">
        <f t="shared" si="147"/>
        <v>0</v>
      </c>
      <c r="E533" s="24">
        <f>SUM(E534:E541)</f>
        <v>0</v>
      </c>
      <c r="F533" s="25">
        <f>SUM(F534:F541)</f>
        <v>0</v>
      </c>
      <c r="G533" s="51">
        <f t="shared" si="148"/>
        <v>0</v>
      </c>
      <c r="H533" s="25">
        <f>SUM(H534:H541)</f>
        <v>0</v>
      </c>
      <c r="I533" s="51">
        <f t="shared" si="149"/>
        <v>0</v>
      </c>
      <c r="J533" s="27">
        <f>SUM(J534:J541)</f>
        <v>0</v>
      </c>
      <c r="K533" s="59">
        <f t="shared" si="150"/>
        <v>0</v>
      </c>
      <c r="L533" s="63">
        <f t="shared" si="143"/>
        <v>0</v>
      </c>
      <c r="M533" s="64">
        <f t="shared" si="144"/>
        <v>0</v>
      </c>
      <c r="N533" s="63">
        <f t="shared" si="145"/>
        <v>0</v>
      </c>
      <c r="O533" s="64">
        <f t="shared" si="146"/>
        <v>0</v>
      </c>
      <c r="P533" s="18"/>
    </row>
    <row r="534" spans="1:16" ht="15.6" x14ac:dyDescent="0.3">
      <c r="A534" s="2" t="s">
        <v>27</v>
      </c>
      <c r="B534" s="9" t="s">
        <v>28</v>
      </c>
      <c r="C534" s="24"/>
      <c r="D534" s="46">
        <f t="shared" si="147"/>
        <v>0</v>
      </c>
      <c r="E534" s="24"/>
      <c r="F534" s="25"/>
      <c r="G534" s="51">
        <f t="shared" si="148"/>
        <v>0</v>
      </c>
      <c r="H534" s="25"/>
      <c r="I534" s="51">
        <f t="shared" si="149"/>
        <v>0</v>
      </c>
      <c r="J534" s="27"/>
      <c r="K534" s="59">
        <f t="shared" si="150"/>
        <v>0</v>
      </c>
      <c r="L534" s="63">
        <f t="shared" si="143"/>
        <v>0</v>
      </c>
      <c r="M534" s="64">
        <f t="shared" si="144"/>
        <v>0</v>
      </c>
      <c r="N534" s="63">
        <f t="shared" si="145"/>
        <v>0</v>
      </c>
      <c r="O534" s="64">
        <f t="shared" si="146"/>
        <v>0</v>
      </c>
      <c r="P534" s="18"/>
    </row>
    <row r="535" spans="1:16" ht="15.6" x14ac:dyDescent="0.3">
      <c r="A535" s="2" t="s">
        <v>29</v>
      </c>
      <c r="B535" s="9" t="s">
        <v>30</v>
      </c>
      <c r="C535" s="24"/>
      <c r="D535" s="46">
        <f t="shared" si="147"/>
        <v>0</v>
      </c>
      <c r="E535" s="24"/>
      <c r="F535" s="25"/>
      <c r="G535" s="51">
        <f t="shared" si="148"/>
        <v>0</v>
      </c>
      <c r="H535" s="25"/>
      <c r="I535" s="51">
        <f t="shared" si="149"/>
        <v>0</v>
      </c>
      <c r="J535" s="27"/>
      <c r="K535" s="59">
        <f t="shared" si="150"/>
        <v>0</v>
      </c>
      <c r="L535" s="63">
        <f t="shared" si="143"/>
        <v>0</v>
      </c>
      <c r="M535" s="64">
        <f t="shared" si="144"/>
        <v>0</v>
      </c>
      <c r="N535" s="63">
        <f t="shared" si="145"/>
        <v>0</v>
      </c>
      <c r="O535" s="64">
        <f t="shared" si="146"/>
        <v>0</v>
      </c>
      <c r="P535" s="18"/>
    </row>
    <row r="536" spans="1:16" ht="15.6" x14ac:dyDescent="0.3">
      <c r="A536" s="2" t="s">
        <v>31</v>
      </c>
      <c r="B536" s="9" t="s">
        <v>32</v>
      </c>
      <c r="C536" s="24"/>
      <c r="D536" s="46">
        <f t="shared" si="147"/>
        <v>0</v>
      </c>
      <c r="E536" s="24"/>
      <c r="F536" s="25"/>
      <c r="G536" s="51">
        <f t="shared" si="148"/>
        <v>0</v>
      </c>
      <c r="H536" s="25"/>
      <c r="I536" s="51">
        <f t="shared" si="149"/>
        <v>0</v>
      </c>
      <c r="J536" s="27"/>
      <c r="K536" s="59">
        <f t="shared" si="150"/>
        <v>0</v>
      </c>
      <c r="L536" s="63">
        <f t="shared" si="143"/>
        <v>0</v>
      </c>
      <c r="M536" s="64">
        <f t="shared" si="144"/>
        <v>0</v>
      </c>
      <c r="N536" s="63">
        <f t="shared" si="145"/>
        <v>0</v>
      </c>
      <c r="O536" s="64">
        <f t="shared" si="146"/>
        <v>0</v>
      </c>
      <c r="P536" s="18"/>
    </row>
    <row r="537" spans="1:16" ht="15.6" x14ac:dyDescent="0.3">
      <c r="A537" s="2" t="s">
        <v>33</v>
      </c>
      <c r="B537" s="9" t="s">
        <v>34</v>
      </c>
      <c r="C537" s="24"/>
      <c r="D537" s="46">
        <f t="shared" si="147"/>
        <v>0</v>
      </c>
      <c r="E537" s="24"/>
      <c r="F537" s="25"/>
      <c r="G537" s="51">
        <f t="shared" si="148"/>
        <v>0</v>
      </c>
      <c r="H537" s="25"/>
      <c r="I537" s="51">
        <f t="shared" si="149"/>
        <v>0</v>
      </c>
      <c r="J537" s="27"/>
      <c r="K537" s="59">
        <f t="shared" si="150"/>
        <v>0</v>
      </c>
      <c r="L537" s="63">
        <f t="shared" si="143"/>
        <v>0</v>
      </c>
      <c r="M537" s="64">
        <f t="shared" si="144"/>
        <v>0</v>
      </c>
      <c r="N537" s="63">
        <f t="shared" si="145"/>
        <v>0</v>
      </c>
      <c r="O537" s="64">
        <f t="shared" si="146"/>
        <v>0</v>
      </c>
      <c r="P537" s="18"/>
    </row>
    <row r="538" spans="1:16" ht="15.6" x14ac:dyDescent="0.3">
      <c r="A538" s="2" t="s">
        <v>35</v>
      </c>
      <c r="B538" s="9" t="s">
        <v>36</v>
      </c>
      <c r="C538" s="24"/>
      <c r="D538" s="46">
        <f t="shared" si="147"/>
        <v>0</v>
      </c>
      <c r="E538" s="24"/>
      <c r="F538" s="25"/>
      <c r="G538" s="51">
        <f t="shared" si="148"/>
        <v>0</v>
      </c>
      <c r="H538" s="25"/>
      <c r="I538" s="51">
        <f t="shared" si="149"/>
        <v>0</v>
      </c>
      <c r="J538" s="27"/>
      <c r="K538" s="59">
        <f t="shared" si="150"/>
        <v>0</v>
      </c>
      <c r="L538" s="63">
        <f t="shared" si="143"/>
        <v>0</v>
      </c>
      <c r="M538" s="64">
        <f t="shared" si="144"/>
        <v>0</v>
      </c>
      <c r="N538" s="63">
        <f t="shared" si="145"/>
        <v>0</v>
      </c>
      <c r="O538" s="64">
        <f t="shared" si="146"/>
        <v>0</v>
      </c>
      <c r="P538" s="18"/>
    </row>
    <row r="539" spans="1:16" ht="27.6" x14ac:dyDescent="0.3">
      <c r="A539" s="2" t="s">
        <v>37</v>
      </c>
      <c r="B539" s="9" t="s">
        <v>38</v>
      </c>
      <c r="C539" s="24"/>
      <c r="D539" s="46">
        <f t="shared" si="147"/>
        <v>0</v>
      </c>
      <c r="E539" s="24"/>
      <c r="F539" s="25"/>
      <c r="G539" s="51">
        <f t="shared" si="148"/>
        <v>0</v>
      </c>
      <c r="H539" s="25"/>
      <c r="I539" s="51">
        <f t="shared" si="149"/>
        <v>0</v>
      </c>
      <c r="J539" s="27"/>
      <c r="K539" s="59">
        <f t="shared" si="150"/>
        <v>0</v>
      </c>
      <c r="L539" s="63">
        <f t="shared" si="143"/>
        <v>0</v>
      </c>
      <c r="M539" s="64">
        <f t="shared" si="144"/>
        <v>0</v>
      </c>
      <c r="N539" s="63">
        <f t="shared" si="145"/>
        <v>0</v>
      </c>
      <c r="O539" s="64">
        <f t="shared" si="146"/>
        <v>0</v>
      </c>
      <c r="P539" s="18"/>
    </row>
    <row r="540" spans="1:16" ht="15.6" x14ac:dyDescent="0.3">
      <c r="A540" s="2" t="s">
        <v>39</v>
      </c>
      <c r="B540" s="9" t="s">
        <v>40</v>
      </c>
      <c r="C540" s="24"/>
      <c r="D540" s="46">
        <f t="shared" si="147"/>
        <v>0</v>
      </c>
      <c r="E540" s="24"/>
      <c r="F540" s="25"/>
      <c r="G540" s="51">
        <f t="shared" si="148"/>
        <v>0</v>
      </c>
      <c r="H540" s="25"/>
      <c r="I540" s="51">
        <f t="shared" si="149"/>
        <v>0</v>
      </c>
      <c r="J540" s="27"/>
      <c r="K540" s="59">
        <f t="shared" si="150"/>
        <v>0</v>
      </c>
      <c r="L540" s="63">
        <f t="shared" si="143"/>
        <v>0</v>
      </c>
      <c r="M540" s="64">
        <f t="shared" si="144"/>
        <v>0</v>
      </c>
      <c r="N540" s="63">
        <f t="shared" si="145"/>
        <v>0</v>
      </c>
      <c r="O540" s="64">
        <f t="shared" si="146"/>
        <v>0</v>
      </c>
      <c r="P540" s="18"/>
    </row>
    <row r="541" spans="1:16" ht="15.6" x14ac:dyDescent="0.3">
      <c r="A541" s="2" t="s">
        <v>41</v>
      </c>
      <c r="B541" s="9" t="s">
        <v>42</v>
      </c>
      <c r="C541" s="24"/>
      <c r="D541" s="46">
        <f t="shared" si="147"/>
        <v>0</v>
      </c>
      <c r="E541" s="24"/>
      <c r="F541" s="25"/>
      <c r="G541" s="51">
        <f t="shared" si="148"/>
        <v>0</v>
      </c>
      <c r="H541" s="25"/>
      <c r="I541" s="51">
        <f t="shared" si="149"/>
        <v>0</v>
      </c>
      <c r="J541" s="27"/>
      <c r="K541" s="59">
        <f t="shared" si="150"/>
        <v>0</v>
      </c>
      <c r="L541" s="63">
        <f t="shared" si="143"/>
        <v>0</v>
      </c>
      <c r="M541" s="64">
        <f t="shared" si="144"/>
        <v>0</v>
      </c>
      <c r="N541" s="63">
        <f t="shared" si="145"/>
        <v>0</v>
      </c>
      <c r="O541" s="64">
        <f t="shared" si="146"/>
        <v>0</v>
      </c>
      <c r="P541" s="18"/>
    </row>
    <row r="542" spans="1:16" ht="15.6" x14ac:dyDescent="0.3">
      <c r="A542" s="2" t="s">
        <v>43</v>
      </c>
      <c r="B542" s="7" t="s">
        <v>44</v>
      </c>
      <c r="C542" s="24"/>
      <c r="D542" s="46">
        <f t="shared" si="147"/>
        <v>0</v>
      </c>
      <c r="E542" s="24"/>
      <c r="F542" s="25"/>
      <c r="G542" s="51">
        <f t="shared" si="148"/>
        <v>0</v>
      </c>
      <c r="H542" s="25"/>
      <c r="I542" s="51">
        <f t="shared" si="149"/>
        <v>0</v>
      </c>
      <c r="J542" s="27"/>
      <c r="K542" s="59">
        <f t="shared" si="150"/>
        <v>0</v>
      </c>
      <c r="L542" s="63">
        <f t="shared" si="143"/>
        <v>0</v>
      </c>
      <c r="M542" s="64">
        <f t="shared" si="144"/>
        <v>0</v>
      </c>
      <c r="N542" s="63">
        <f t="shared" si="145"/>
        <v>0</v>
      </c>
      <c r="O542" s="64">
        <f t="shared" si="146"/>
        <v>0</v>
      </c>
      <c r="P542" s="18"/>
    </row>
    <row r="543" spans="1:16" ht="15.6" x14ac:dyDescent="0.3">
      <c r="A543" s="2" t="s">
        <v>45</v>
      </c>
      <c r="B543" s="7" t="s">
        <v>46</v>
      </c>
      <c r="C543" s="24"/>
      <c r="D543" s="46">
        <f t="shared" si="147"/>
        <v>0</v>
      </c>
      <c r="E543" s="24"/>
      <c r="F543" s="25"/>
      <c r="G543" s="51">
        <f t="shared" si="148"/>
        <v>0</v>
      </c>
      <c r="H543" s="25"/>
      <c r="I543" s="51">
        <f t="shared" si="149"/>
        <v>0</v>
      </c>
      <c r="J543" s="27"/>
      <c r="K543" s="59">
        <f t="shared" si="150"/>
        <v>0</v>
      </c>
      <c r="L543" s="63">
        <f t="shared" si="143"/>
        <v>0</v>
      </c>
      <c r="M543" s="64">
        <f t="shared" si="144"/>
        <v>0</v>
      </c>
      <c r="N543" s="63">
        <f t="shared" si="145"/>
        <v>0</v>
      </c>
      <c r="O543" s="64">
        <f t="shared" si="146"/>
        <v>0</v>
      </c>
      <c r="P543" s="18"/>
    </row>
    <row r="544" spans="1:16" s="16" customFormat="1" ht="15.6" x14ac:dyDescent="0.3">
      <c r="A544" s="14" t="s">
        <v>47</v>
      </c>
      <c r="B544" s="22" t="s">
        <v>48</v>
      </c>
      <c r="C544" s="66">
        <f>SUM(C545:C567)</f>
        <v>0</v>
      </c>
      <c r="D544" s="46">
        <f t="shared" si="147"/>
        <v>0</v>
      </c>
      <c r="E544" s="66">
        <f>SUM(E545:E567)</f>
        <v>0</v>
      </c>
      <c r="F544" s="67">
        <f>SUM(F545:F567)</f>
        <v>0</v>
      </c>
      <c r="G544" s="51">
        <f t="shared" si="148"/>
        <v>0</v>
      </c>
      <c r="H544" s="67">
        <f>SUM(H545:H567)</f>
        <v>0</v>
      </c>
      <c r="I544" s="51">
        <f t="shared" si="149"/>
        <v>0</v>
      </c>
      <c r="J544" s="23">
        <f>SUM(J545:J567)</f>
        <v>0</v>
      </c>
      <c r="K544" s="59">
        <f t="shared" si="150"/>
        <v>0</v>
      </c>
      <c r="L544" s="63">
        <f t="shared" si="143"/>
        <v>0</v>
      </c>
      <c r="M544" s="64">
        <f t="shared" si="144"/>
        <v>0</v>
      </c>
      <c r="N544" s="63">
        <f t="shared" si="145"/>
        <v>0</v>
      </c>
      <c r="O544" s="64">
        <f t="shared" si="146"/>
        <v>0</v>
      </c>
      <c r="P544" s="18"/>
    </row>
    <row r="545" spans="1:16" ht="15.6" x14ac:dyDescent="0.3">
      <c r="A545" s="2" t="s">
        <v>49</v>
      </c>
      <c r="B545" s="10" t="s">
        <v>50</v>
      </c>
      <c r="C545" s="29"/>
      <c r="D545" s="46">
        <f t="shared" si="147"/>
        <v>0</v>
      </c>
      <c r="E545" s="24"/>
      <c r="F545" s="25"/>
      <c r="G545" s="51">
        <f t="shared" si="148"/>
        <v>0</v>
      </c>
      <c r="H545" s="25"/>
      <c r="I545" s="51">
        <f t="shared" si="149"/>
        <v>0</v>
      </c>
      <c r="J545" s="27"/>
      <c r="K545" s="59">
        <f t="shared" si="150"/>
        <v>0</v>
      </c>
      <c r="L545" s="63">
        <f t="shared" si="143"/>
        <v>0</v>
      </c>
      <c r="M545" s="64">
        <f t="shared" si="144"/>
        <v>0</v>
      </c>
      <c r="N545" s="63">
        <f t="shared" si="145"/>
        <v>0</v>
      </c>
      <c r="O545" s="64">
        <f t="shared" si="146"/>
        <v>0</v>
      </c>
      <c r="P545" s="18"/>
    </row>
    <row r="546" spans="1:16" ht="15.6" x14ac:dyDescent="0.3">
      <c r="A546" s="2" t="s">
        <v>51</v>
      </c>
      <c r="B546" s="10" t="s">
        <v>52</v>
      </c>
      <c r="C546" s="24"/>
      <c r="D546" s="46">
        <f t="shared" si="147"/>
        <v>0</v>
      </c>
      <c r="E546" s="24"/>
      <c r="F546" s="25"/>
      <c r="G546" s="51">
        <f t="shared" si="148"/>
        <v>0</v>
      </c>
      <c r="H546" s="25"/>
      <c r="I546" s="51">
        <f t="shared" si="149"/>
        <v>0</v>
      </c>
      <c r="J546" s="27"/>
      <c r="K546" s="59">
        <f t="shared" si="150"/>
        <v>0</v>
      </c>
      <c r="L546" s="63">
        <f t="shared" si="143"/>
        <v>0</v>
      </c>
      <c r="M546" s="64">
        <f t="shared" si="144"/>
        <v>0</v>
      </c>
      <c r="N546" s="63">
        <f t="shared" si="145"/>
        <v>0</v>
      </c>
      <c r="O546" s="64">
        <f t="shared" si="146"/>
        <v>0</v>
      </c>
      <c r="P546" s="18"/>
    </row>
    <row r="547" spans="1:16" ht="15.6" x14ac:dyDescent="0.3">
      <c r="A547" s="2" t="s">
        <v>53</v>
      </c>
      <c r="B547" s="10" t="s">
        <v>54</v>
      </c>
      <c r="C547" s="24"/>
      <c r="D547" s="46">
        <f t="shared" si="147"/>
        <v>0</v>
      </c>
      <c r="E547" s="24"/>
      <c r="F547" s="25"/>
      <c r="G547" s="51">
        <f t="shared" si="148"/>
        <v>0</v>
      </c>
      <c r="H547" s="25"/>
      <c r="I547" s="51">
        <f t="shared" si="149"/>
        <v>0</v>
      </c>
      <c r="J547" s="27"/>
      <c r="K547" s="59">
        <f t="shared" si="150"/>
        <v>0</v>
      </c>
      <c r="L547" s="63">
        <f t="shared" si="143"/>
        <v>0</v>
      </c>
      <c r="M547" s="64">
        <f t="shared" si="144"/>
        <v>0</v>
      </c>
      <c r="N547" s="63">
        <f t="shared" si="145"/>
        <v>0</v>
      </c>
      <c r="O547" s="64">
        <f t="shared" si="146"/>
        <v>0</v>
      </c>
      <c r="P547" s="18"/>
    </row>
    <row r="548" spans="1:16" ht="15.6" x14ac:dyDescent="0.3">
      <c r="A548" s="2" t="s">
        <v>55</v>
      </c>
      <c r="B548" s="10" t="s">
        <v>56</v>
      </c>
      <c r="C548" s="24"/>
      <c r="D548" s="46">
        <f t="shared" si="147"/>
        <v>0</v>
      </c>
      <c r="E548" s="24"/>
      <c r="F548" s="25"/>
      <c r="G548" s="51">
        <f t="shared" si="148"/>
        <v>0</v>
      </c>
      <c r="H548" s="25"/>
      <c r="I548" s="51">
        <f t="shared" si="149"/>
        <v>0</v>
      </c>
      <c r="J548" s="27"/>
      <c r="K548" s="59">
        <f t="shared" si="150"/>
        <v>0</v>
      </c>
      <c r="L548" s="63">
        <f t="shared" si="143"/>
        <v>0</v>
      </c>
      <c r="M548" s="64">
        <f t="shared" si="144"/>
        <v>0</v>
      </c>
      <c r="N548" s="63">
        <f t="shared" si="145"/>
        <v>0</v>
      </c>
      <c r="O548" s="64">
        <f t="shared" si="146"/>
        <v>0</v>
      </c>
      <c r="P548" s="18"/>
    </row>
    <row r="549" spans="1:16" ht="15.6" x14ac:dyDescent="0.3">
      <c r="A549" s="2" t="s">
        <v>57</v>
      </c>
      <c r="B549" s="10" t="s">
        <v>58</v>
      </c>
      <c r="C549" s="29"/>
      <c r="D549" s="46">
        <f t="shared" si="147"/>
        <v>0</v>
      </c>
      <c r="E549" s="24"/>
      <c r="F549" s="25"/>
      <c r="G549" s="51">
        <f t="shared" si="148"/>
        <v>0</v>
      </c>
      <c r="H549" s="25"/>
      <c r="I549" s="51">
        <f t="shared" si="149"/>
        <v>0</v>
      </c>
      <c r="J549" s="27"/>
      <c r="K549" s="59">
        <f t="shared" si="150"/>
        <v>0</v>
      </c>
      <c r="L549" s="63">
        <f t="shared" si="143"/>
        <v>0</v>
      </c>
      <c r="M549" s="64">
        <f t="shared" si="144"/>
        <v>0</v>
      </c>
      <c r="N549" s="63">
        <f t="shared" si="145"/>
        <v>0</v>
      </c>
      <c r="O549" s="64">
        <f t="shared" si="146"/>
        <v>0</v>
      </c>
      <c r="P549" s="18"/>
    </row>
    <row r="550" spans="1:16" ht="15.6" x14ac:dyDescent="0.3">
      <c r="A550" s="2" t="s">
        <v>59</v>
      </c>
      <c r="B550" s="10" t="s">
        <v>60</v>
      </c>
      <c r="C550" s="24"/>
      <c r="D550" s="46">
        <f t="shared" si="147"/>
        <v>0</v>
      </c>
      <c r="E550" s="24"/>
      <c r="F550" s="25"/>
      <c r="G550" s="51">
        <f t="shared" si="148"/>
        <v>0</v>
      </c>
      <c r="H550" s="25"/>
      <c r="I550" s="51">
        <f t="shared" si="149"/>
        <v>0</v>
      </c>
      <c r="J550" s="27"/>
      <c r="K550" s="59">
        <f t="shared" si="150"/>
        <v>0</v>
      </c>
      <c r="L550" s="63">
        <f t="shared" si="143"/>
        <v>0</v>
      </c>
      <c r="M550" s="64">
        <f t="shared" si="144"/>
        <v>0</v>
      </c>
      <c r="N550" s="63">
        <f t="shared" si="145"/>
        <v>0</v>
      </c>
      <c r="O550" s="64">
        <f t="shared" si="146"/>
        <v>0</v>
      </c>
      <c r="P550" s="18"/>
    </row>
    <row r="551" spans="1:16" ht="15.6" x14ac:dyDescent="0.3">
      <c r="A551" s="2" t="s">
        <v>61</v>
      </c>
      <c r="B551" s="10" t="s">
        <v>62</v>
      </c>
      <c r="C551" s="29"/>
      <c r="D551" s="46">
        <f t="shared" si="147"/>
        <v>0</v>
      </c>
      <c r="E551" s="24"/>
      <c r="F551" s="25"/>
      <c r="G551" s="51">
        <f t="shared" si="148"/>
        <v>0</v>
      </c>
      <c r="H551" s="25"/>
      <c r="I551" s="51">
        <f t="shared" si="149"/>
        <v>0</v>
      </c>
      <c r="J551" s="27"/>
      <c r="K551" s="59">
        <f t="shared" si="150"/>
        <v>0</v>
      </c>
      <c r="L551" s="63">
        <f t="shared" si="143"/>
        <v>0</v>
      </c>
      <c r="M551" s="64">
        <f t="shared" si="144"/>
        <v>0</v>
      </c>
      <c r="N551" s="63">
        <f t="shared" si="145"/>
        <v>0</v>
      </c>
      <c r="O551" s="64">
        <f t="shared" si="146"/>
        <v>0</v>
      </c>
      <c r="P551" s="18"/>
    </row>
    <row r="552" spans="1:16" ht="15.6" x14ac:dyDescent="0.3">
      <c r="A552" s="2" t="s">
        <v>63</v>
      </c>
      <c r="B552" s="10" t="s">
        <v>64</v>
      </c>
      <c r="C552" s="24"/>
      <c r="D552" s="46">
        <f t="shared" si="147"/>
        <v>0</v>
      </c>
      <c r="E552" s="24"/>
      <c r="F552" s="25"/>
      <c r="G552" s="51">
        <f t="shared" si="148"/>
        <v>0</v>
      </c>
      <c r="H552" s="25"/>
      <c r="I552" s="51">
        <f t="shared" si="149"/>
        <v>0</v>
      </c>
      <c r="J552" s="27"/>
      <c r="K552" s="59">
        <f t="shared" si="150"/>
        <v>0</v>
      </c>
      <c r="L552" s="63">
        <f t="shared" si="143"/>
        <v>0</v>
      </c>
      <c r="M552" s="64">
        <f t="shared" si="144"/>
        <v>0</v>
      </c>
      <c r="N552" s="63">
        <f t="shared" si="145"/>
        <v>0</v>
      </c>
      <c r="O552" s="64">
        <f t="shared" si="146"/>
        <v>0</v>
      </c>
      <c r="P552" s="18"/>
    </row>
    <row r="553" spans="1:16" ht="15.6" x14ac:dyDescent="0.3">
      <c r="A553" s="2" t="s">
        <v>65</v>
      </c>
      <c r="B553" s="10" t="s">
        <v>66</v>
      </c>
      <c r="C553" s="29"/>
      <c r="D553" s="46">
        <f t="shared" si="147"/>
        <v>0</v>
      </c>
      <c r="E553" s="24"/>
      <c r="F553" s="25"/>
      <c r="G553" s="51">
        <f t="shared" si="148"/>
        <v>0</v>
      </c>
      <c r="H553" s="25"/>
      <c r="I553" s="51">
        <f t="shared" si="149"/>
        <v>0</v>
      </c>
      <c r="J553" s="27"/>
      <c r="K553" s="59">
        <f t="shared" si="150"/>
        <v>0</v>
      </c>
      <c r="L553" s="63">
        <f t="shared" si="143"/>
        <v>0</v>
      </c>
      <c r="M553" s="64">
        <f t="shared" si="144"/>
        <v>0</v>
      </c>
      <c r="N553" s="63">
        <f t="shared" si="145"/>
        <v>0</v>
      </c>
      <c r="O553" s="64">
        <f t="shared" si="146"/>
        <v>0</v>
      </c>
      <c r="P553" s="18"/>
    </row>
    <row r="554" spans="1:16" ht="15.6" x14ac:dyDescent="0.3">
      <c r="A554" s="2" t="s">
        <v>67</v>
      </c>
      <c r="B554" s="10" t="s">
        <v>68</v>
      </c>
      <c r="C554" s="29"/>
      <c r="D554" s="46">
        <f t="shared" si="147"/>
        <v>0</v>
      </c>
      <c r="E554" s="24"/>
      <c r="F554" s="25"/>
      <c r="G554" s="51">
        <f t="shared" si="148"/>
        <v>0</v>
      </c>
      <c r="H554" s="25"/>
      <c r="I554" s="51">
        <f t="shared" si="149"/>
        <v>0</v>
      </c>
      <c r="J554" s="27"/>
      <c r="K554" s="59">
        <f t="shared" si="150"/>
        <v>0</v>
      </c>
      <c r="L554" s="63">
        <f t="shared" si="143"/>
        <v>0</v>
      </c>
      <c r="M554" s="64">
        <f t="shared" si="144"/>
        <v>0</v>
      </c>
      <c r="N554" s="63">
        <f t="shared" si="145"/>
        <v>0</v>
      </c>
      <c r="O554" s="64">
        <f t="shared" si="146"/>
        <v>0</v>
      </c>
      <c r="P554" s="18"/>
    </row>
    <row r="555" spans="1:16" ht="15.6" x14ac:dyDescent="0.3">
      <c r="A555" s="2" t="s">
        <v>69</v>
      </c>
      <c r="B555" s="10" t="s">
        <v>70</v>
      </c>
      <c r="C555" s="29"/>
      <c r="D555" s="46">
        <f t="shared" si="147"/>
        <v>0</v>
      </c>
      <c r="E555" s="24"/>
      <c r="F555" s="25"/>
      <c r="G555" s="51">
        <f t="shared" si="148"/>
        <v>0</v>
      </c>
      <c r="H555" s="25"/>
      <c r="I555" s="51">
        <f t="shared" si="149"/>
        <v>0</v>
      </c>
      <c r="J555" s="27"/>
      <c r="K555" s="59">
        <f t="shared" si="150"/>
        <v>0</v>
      </c>
      <c r="L555" s="63">
        <f t="shared" si="143"/>
        <v>0</v>
      </c>
      <c r="M555" s="64">
        <f t="shared" si="144"/>
        <v>0</v>
      </c>
      <c r="N555" s="63">
        <f t="shared" si="145"/>
        <v>0</v>
      </c>
      <c r="O555" s="64">
        <f t="shared" si="146"/>
        <v>0</v>
      </c>
      <c r="P555" s="18"/>
    </row>
    <row r="556" spans="1:16" ht="15.6" x14ac:dyDescent="0.3">
      <c r="A556" s="31" t="s">
        <v>71</v>
      </c>
      <c r="B556" s="10" t="s">
        <v>72</v>
      </c>
      <c r="C556" s="29"/>
      <c r="D556" s="46">
        <f t="shared" si="147"/>
        <v>0</v>
      </c>
      <c r="E556" s="24"/>
      <c r="F556" s="25"/>
      <c r="G556" s="51">
        <f t="shared" si="148"/>
        <v>0</v>
      </c>
      <c r="H556" s="25"/>
      <c r="I556" s="51">
        <f t="shared" si="149"/>
        <v>0</v>
      </c>
      <c r="J556" s="27"/>
      <c r="K556" s="59">
        <f t="shared" si="150"/>
        <v>0</v>
      </c>
      <c r="L556" s="63">
        <f t="shared" si="143"/>
        <v>0</v>
      </c>
      <c r="M556" s="64">
        <f t="shared" si="144"/>
        <v>0</v>
      </c>
      <c r="N556" s="63">
        <f t="shared" si="145"/>
        <v>0</v>
      </c>
      <c r="O556" s="64">
        <f t="shared" si="146"/>
        <v>0</v>
      </c>
      <c r="P556" s="18"/>
    </row>
    <row r="557" spans="1:16" ht="15.6" x14ac:dyDescent="0.3">
      <c r="A557" s="2" t="s">
        <v>73</v>
      </c>
      <c r="B557" s="10" t="s">
        <v>74</v>
      </c>
      <c r="C557" s="24"/>
      <c r="D557" s="46">
        <f t="shared" si="147"/>
        <v>0</v>
      </c>
      <c r="E557" s="24"/>
      <c r="F557" s="25"/>
      <c r="G557" s="51">
        <f t="shared" si="148"/>
        <v>0</v>
      </c>
      <c r="H557" s="25"/>
      <c r="I557" s="51">
        <f t="shared" si="149"/>
        <v>0</v>
      </c>
      <c r="J557" s="27"/>
      <c r="K557" s="59">
        <f t="shared" si="150"/>
        <v>0</v>
      </c>
      <c r="L557" s="63">
        <f t="shared" si="143"/>
        <v>0</v>
      </c>
      <c r="M557" s="64">
        <f t="shared" si="144"/>
        <v>0</v>
      </c>
      <c r="N557" s="63">
        <f t="shared" si="145"/>
        <v>0</v>
      </c>
      <c r="O557" s="64">
        <f t="shared" si="146"/>
        <v>0</v>
      </c>
      <c r="P557" s="18"/>
    </row>
    <row r="558" spans="1:16" ht="15.6" x14ac:dyDescent="0.3">
      <c r="A558" s="18" t="s">
        <v>75</v>
      </c>
      <c r="B558" s="10" t="s">
        <v>76</v>
      </c>
      <c r="C558" s="29"/>
      <c r="D558" s="46">
        <f t="shared" si="147"/>
        <v>0</v>
      </c>
      <c r="E558" s="24"/>
      <c r="F558" s="25"/>
      <c r="G558" s="51">
        <f t="shared" si="148"/>
        <v>0</v>
      </c>
      <c r="H558" s="25"/>
      <c r="I558" s="51">
        <f t="shared" si="149"/>
        <v>0</v>
      </c>
      <c r="J558" s="27"/>
      <c r="K558" s="59">
        <f t="shared" si="150"/>
        <v>0</v>
      </c>
      <c r="L558" s="63">
        <f t="shared" si="143"/>
        <v>0</v>
      </c>
      <c r="M558" s="64">
        <f t="shared" si="144"/>
        <v>0</v>
      </c>
      <c r="N558" s="63">
        <f t="shared" si="145"/>
        <v>0</v>
      </c>
      <c r="O558" s="64">
        <f t="shared" si="146"/>
        <v>0</v>
      </c>
      <c r="P558" s="18"/>
    </row>
    <row r="559" spans="1:16" ht="15.6" x14ac:dyDescent="0.3">
      <c r="A559" s="2" t="s">
        <v>77</v>
      </c>
      <c r="B559" s="10" t="s">
        <v>78</v>
      </c>
      <c r="C559" s="29"/>
      <c r="D559" s="46">
        <f t="shared" si="147"/>
        <v>0</v>
      </c>
      <c r="E559" s="24"/>
      <c r="F559" s="25"/>
      <c r="G559" s="51">
        <f t="shared" si="148"/>
        <v>0</v>
      </c>
      <c r="H559" s="25"/>
      <c r="I559" s="51">
        <f t="shared" si="149"/>
        <v>0</v>
      </c>
      <c r="J559" s="27"/>
      <c r="K559" s="59">
        <f t="shared" si="150"/>
        <v>0</v>
      </c>
      <c r="L559" s="63">
        <f t="shared" si="143"/>
        <v>0</v>
      </c>
      <c r="M559" s="64">
        <f t="shared" si="144"/>
        <v>0</v>
      </c>
      <c r="N559" s="63">
        <f t="shared" si="145"/>
        <v>0</v>
      </c>
      <c r="O559" s="64">
        <f t="shared" si="146"/>
        <v>0</v>
      </c>
      <c r="P559" s="18"/>
    </row>
    <row r="560" spans="1:16" ht="15.6" x14ac:dyDescent="0.3">
      <c r="A560" s="18" t="s">
        <v>79</v>
      </c>
      <c r="B560" s="10" t="s">
        <v>80</v>
      </c>
      <c r="C560" s="24"/>
      <c r="D560" s="46">
        <f t="shared" si="147"/>
        <v>0</v>
      </c>
      <c r="E560" s="24"/>
      <c r="F560" s="25"/>
      <c r="G560" s="51">
        <f t="shared" si="148"/>
        <v>0</v>
      </c>
      <c r="H560" s="25"/>
      <c r="I560" s="51">
        <f t="shared" si="149"/>
        <v>0</v>
      </c>
      <c r="J560" s="27"/>
      <c r="K560" s="59">
        <f t="shared" si="150"/>
        <v>0</v>
      </c>
      <c r="L560" s="63">
        <f t="shared" si="143"/>
        <v>0</v>
      </c>
      <c r="M560" s="64">
        <f t="shared" si="144"/>
        <v>0</v>
      </c>
      <c r="N560" s="63">
        <f t="shared" si="145"/>
        <v>0</v>
      </c>
      <c r="O560" s="64">
        <f t="shared" si="146"/>
        <v>0</v>
      </c>
      <c r="P560" s="18"/>
    </row>
    <row r="561" spans="1:16" ht="15.6" x14ac:dyDescent="0.3">
      <c r="A561" s="2" t="s">
        <v>81</v>
      </c>
      <c r="B561" s="10" t="s">
        <v>82</v>
      </c>
      <c r="C561" s="24"/>
      <c r="D561" s="46">
        <f t="shared" si="147"/>
        <v>0</v>
      </c>
      <c r="E561" s="24"/>
      <c r="F561" s="25"/>
      <c r="G561" s="51">
        <f t="shared" si="148"/>
        <v>0</v>
      </c>
      <c r="H561" s="25"/>
      <c r="I561" s="51">
        <f t="shared" si="149"/>
        <v>0</v>
      </c>
      <c r="J561" s="27"/>
      <c r="K561" s="59">
        <f t="shared" si="150"/>
        <v>0</v>
      </c>
      <c r="L561" s="63">
        <f t="shared" si="143"/>
        <v>0</v>
      </c>
      <c r="M561" s="64">
        <f t="shared" si="144"/>
        <v>0</v>
      </c>
      <c r="N561" s="63">
        <f t="shared" si="145"/>
        <v>0</v>
      </c>
      <c r="O561" s="64">
        <f t="shared" si="146"/>
        <v>0</v>
      </c>
      <c r="P561" s="18"/>
    </row>
    <row r="562" spans="1:16" ht="15.6" x14ac:dyDescent="0.3">
      <c r="A562" s="2" t="s">
        <v>83</v>
      </c>
      <c r="B562" s="10" t="s">
        <v>84</v>
      </c>
      <c r="C562" s="24"/>
      <c r="D562" s="46">
        <f t="shared" si="147"/>
        <v>0</v>
      </c>
      <c r="E562" s="24"/>
      <c r="F562" s="25"/>
      <c r="G562" s="51">
        <f t="shared" si="148"/>
        <v>0</v>
      </c>
      <c r="H562" s="25"/>
      <c r="I562" s="51">
        <f t="shared" si="149"/>
        <v>0</v>
      </c>
      <c r="J562" s="27"/>
      <c r="K562" s="59">
        <f t="shared" si="150"/>
        <v>0</v>
      </c>
      <c r="L562" s="63">
        <f t="shared" si="143"/>
        <v>0</v>
      </c>
      <c r="M562" s="64">
        <f t="shared" si="144"/>
        <v>0</v>
      </c>
      <c r="N562" s="63">
        <f t="shared" si="145"/>
        <v>0</v>
      </c>
      <c r="O562" s="64">
        <f t="shared" si="146"/>
        <v>0</v>
      </c>
      <c r="P562" s="18"/>
    </row>
    <row r="563" spans="1:16" ht="15.6" x14ac:dyDescent="0.3">
      <c r="A563" s="2" t="s">
        <v>85</v>
      </c>
      <c r="B563" s="10" t="s">
        <v>86</v>
      </c>
      <c r="C563" s="29"/>
      <c r="D563" s="46">
        <f t="shared" si="147"/>
        <v>0</v>
      </c>
      <c r="E563" s="24"/>
      <c r="F563" s="25"/>
      <c r="G563" s="51">
        <f t="shared" si="148"/>
        <v>0</v>
      </c>
      <c r="H563" s="25"/>
      <c r="I563" s="51">
        <f t="shared" si="149"/>
        <v>0</v>
      </c>
      <c r="J563" s="27"/>
      <c r="K563" s="59">
        <f t="shared" si="150"/>
        <v>0</v>
      </c>
      <c r="L563" s="63">
        <f t="shared" si="143"/>
        <v>0</v>
      </c>
      <c r="M563" s="64">
        <f t="shared" si="144"/>
        <v>0</v>
      </c>
      <c r="N563" s="63">
        <f t="shared" si="145"/>
        <v>0</v>
      </c>
      <c r="O563" s="64">
        <f t="shared" si="146"/>
        <v>0</v>
      </c>
      <c r="P563" s="18"/>
    </row>
    <row r="564" spans="1:16" ht="15.6" x14ac:dyDescent="0.3">
      <c r="A564" s="2" t="s">
        <v>87</v>
      </c>
      <c r="B564" s="10" t="s">
        <v>88</v>
      </c>
      <c r="C564" s="29"/>
      <c r="D564" s="46">
        <f t="shared" si="147"/>
        <v>0</v>
      </c>
      <c r="E564" s="24"/>
      <c r="F564" s="25"/>
      <c r="G564" s="51">
        <f t="shared" si="148"/>
        <v>0</v>
      </c>
      <c r="H564" s="25"/>
      <c r="I564" s="51">
        <f t="shared" si="149"/>
        <v>0</v>
      </c>
      <c r="J564" s="27"/>
      <c r="K564" s="59">
        <f t="shared" si="150"/>
        <v>0</v>
      </c>
      <c r="L564" s="63">
        <f t="shared" si="143"/>
        <v>0</v>
      </c>
      <c r="M564" s="64">
        <f t="shared" si="144"/>
        <v>0</v>
      </c>
      <c r="N564" s="63">
        <f t="shared" si="145"/>
        <v>0</v>
      </c>
      <c r="O564" s="64">
        <f t="shared" si="146"/>
        <v>0</v>
      </c>
      <c r="P564" s="18"/>
    </row>
    <row r="565" spans="1:16" ht="15.6" x14ac:dyDescent="0.3">
      <c r="A565" s="2" t="s">
        <v>89</v>
      </c>
      <c r="B565" s="10" t="s">
        <v>90</v>
      </c>
      <c r="C565" s="24"/>
      <c r="D565" s="46">
        <f t="shared" si="147"/>
        <v>0</v>
      </c>
      <c r="E565" s="24"/>
      <c r="F565" s="25"/>
      <c r="G565" s="51">
        <f t="shared" si="148"/>
        <v>0</v>
      </c>
      <c r="H565" s="25"/>
      <c r="I565" s="51">
        <f t="shared" si="149"/>
        <v>0</v>
      </c>
      <c r="J565" s="27"/>
      <c r="K565" s="59">
        <f t="shared" si="150"/>
        <v>0</v>
      </c>
      <c r="L565" s="63">
        <f t="shared" si="143"/>
        <v>0</v>
      </c>
      <c r="M565" s="64">
        <f t="shared" si="144"/>
        <v>0</v>
      </c>
      <c r="N565" s="63">
        <f t="shared" si="145"/>
        <v>0</v>
      </c>
      <c r="O565" s="64">
        <f t="shared" si="146"/>
        <v>0</v>
      </c>
      <c r="P565" s="18"/>
    </row>
    <row r="566" spans="1:16" ht="15.6" x14ac:dyDescent="0.3">
      <c r="A566" s="2" t="s">
        <v>91</v>
      </c>
      <c r="B566" s="10" t="s">
        <v>92</v>
      </c>
      <c r="C566" s="29"/>
      <c r="D566" s="46">
        <f t="shared" si="147"/>
        <v>0</v>
      </c>
      <c r="E566" s="24"/>
      <c r="F566" s="25"/>
      <c r="G566" s="51">
        <f t="shared" si="148"/>
        <v>0</v>
      </c>
      <c r="H566" s="25"/>
      <c r="I566" s="51">
        <f t="shared" si="149"/>
        <v>0</v>
      </c>
      <c r="J566" s="27"/>
      <c r="K566" s="59">
        <f t="shared" si="150"/>
        <v>0</v>
      </c>
      <c r="L566" s="63">
        <f t="shared" si="143"/>
        <v>0</v>
      </c>
      <c r="M566" s="64">
        <f t="shared" si="144"/>
        <v>0</v>
      </c>
      <c r="N566" s="63">
        <f t="shared" si="145"/>
        <v>0</v>
      </c>
      <c r="O566" s="64">
        <f t="shared" si="146"/>
        <v>0</v>
      </c>
      <c r="P566" s="18"/>
    </row>
    <row r="567" spans="1:16" ht="15.6" x14ac:dyDescent="0.3">
      <c r="A567" s="2" t="s">
        <v>93</v>
      </c>
      <c r="B567" s="10" t="s">
        <v>94</v>
      </c>
      <c r="C567" s="29"/>
      <c r="D567" s="46">
        <f t="shared" si="147"/>
        <v>0</v>
      </c>
      <c r="E567" s="24"/>
      <c r="F567" s="25"/>
      <c r="G567" s="51">
        <f t="shared" si="148"/>
        <v>0</v>
      </c>
      <c r="H567" s="25"/>
      <c r="I567" s="51">
        <f t="shared" si="149"/>
        <v>0</v>
      </c>
      <c r="J567" s="27"/>
      <c r="K567" s="59">
        <f t="shared" si="150"/>
        <v>0</v>
      </c>
      <c r="L567" s="63">
        <f t="shared" si="143"/>
        <v>0</v>
      </c>
      <c r="M567" s="64">
        <f t="shared" si="144"/>
        <v>0</v>
      </c>
      <c r="N567" s="63">
        <f t="shared" si="145"/>
        <v>0</v>
      </c>
      <c r="O567" s="64">
        <f t="shared" si="146"/>
        <v>0</v>
      </c>
      <c r="P567" s="18"/>
    </row>
    <row r="568" spans="1:16" ht="15.6" x14ac:dyDescent="0.3">
      <c r="A568" s="21" t="s">
        <v>95</v>
      </c>
      <c r="B568" s="22" t="s">
        <v>96</v>
      </c>
      <c r="C568" s="91">
        <f>C524-C527</f>
        <v>0</v>
      </c>
      <c r="D568" s="82"/>
      <c r="E568" s="66">
        <f>E524-E527</f>
        <v>0</v>
      </c>
      <c r="F568" s="92">
        <f>F524-F527</f>
        <v>0</v>
      </c>
      <c r="G568" s="82"/>
      <c r="H568" s="92">
        <f>H524-H527</f>
        <v>0</v>
      </c>
      <c r="I568" s="82"/>
      <c r="J568" s="89">
        <f>J524-J527</f>
        <v>0</v>
      </c>
      <c r="K568" s="82"/>
      <c r="L568" s="63">
        <f t="shared" si="143"/>
        <v>0</v>
      </c>
      <c r="M568" s="64">
        <f t="shared" si="144"/>
        <v>0</v>
      </c>
      <c r="N568" s="63">
        <f t="shared" si="145"/>
        <v>0</v>
      </c>
      <c r="O568" s="64">
        <f t="shared" si="146"/>
        <v>0</v>
      </c>
      <c r="P568" s="18"/>
    </row>
    <row r="569" spans="1:16" x14ac:dyDescent="0.3">
      <c r="A569" s="30" t="s">
        <v>97</v>
      </c>
      <c r="B569" s="11" t="s">
        <v>98</v>
      </c>
      <c r="C569" s="84">
        <f>IFERROR(C568/C524,0)</f>
        <v>0</v>
      </c>
      <c r="D569" s="77"/>
      <c r="E569" s="47">
        <f>IFERROR(E568/E524,0)</f>
        <v>0</v>
      </c>
      <c r="F569" s="76">
        <f>IFERROR(F568/F524,0)</f>
        <v>0</v>
      </c>
      <c r="G569" s="77"/>
      <c r="H569" s="76">
        <f>IFERROR(H568/H524,0)</f>
        <v>0</v>
      </c>
      <c r="I569" s="77"/>
      <c r="J569" s="80">
        <f>IFERROR(J568/J524,0)</f>
        <v>0</v>
      </c>
      <c r="K569" s="77"/>
    </row>
    <row r="570" spans="1:16" x14ac:dyDescent="0.3">
      <c r="A570" s="30" t="s">
        <v>99</v>
      </c>
      <c r="B570" s="11" t="s">
        <v>100</v>
      </c>
      <c r="C570" s="84">
        <f>IFERROR(C568/C572,0)</f>
        <v>0</v>
      </c>
      <c r="D570" s="77"/>
      <c r="E570" s="47">
        <f>IFERROR(E568/C572,0)</f>
        <v>0</v>
      </c>
      <c r="F570" s="76">
        <f t="shared" ref="F570" si="151">IFERROR(F568/F572,0)</f>
        <v>0</v>
      </c>
      <c r="G570" s="77"/>
      <c r="H570" s="76">
        <f t="shared" ref="H570" si="152">IFERROR(H568/H572,0)</f>
        <v>0</v>
      </c>
      <c r="I570" s="77"/>
      <c r="J570" s="80">
        <f t="shared" ref="J570" si="153">IFERROR(J568/J572,0)</f>
        <v>0</v>
      </c>
      <c r="K570" s="77"/>
    </row>
    <row r="571" spans="1:16" x14ac:dyDescent="0.3">
      <c r="A571" s="33" t="s">
        <v>101</v>
      </c>
      <c r="B571" s="11" t="s">
        <v>102</v>
      </c>
      <c r="C571" s="84">
        <f>IFERROR(C570*12,0)</f>
        <v>0</v>
      </c>
      <c r="D571" s="77"/>
      <c r="E571" s="47">
        <f>IFERROR(E570*12,0)</f>
        <v>0</v>
      </c>
      <c r="F571" s="76">
        <f t="shared" ref="F571" si="154">IFERROR(F570*12,0)</f>
        <v>0</v>
      </c>
      <c r="G571" s="77"/>
      <c r="H571" s="76">
        <f t="shared" ref="H571" si="155">IFERROR(H570*12,0)</f>
        <v>0</v>
      </c>
      <c r="I571" s="77"/>
      <c r="J571" s="80">
        <f t="shared" ref="J571" si="156">IFERROR(J570*12,0)</f>
        <v>0</v>
      </c>
      <c r="K571" s="77"/>
    </row>
    <row r="572" spans="1:16" x14ac:dyDescent="0.3">
      <c r="A572" s="33" t="s">
        <v>103</v>
      </c>
      <c r="B572" s="12" t="s">
        <v>104</v>
      </c>
      <c r="C572" s="78">
        <v>1368401</v>
      </c>
      <c r="D572" s="79"/>
    </row>
    <row r="574" spans="1:16" ht="39.6" customHeight="1" x14ac:dyDescent="0.3">
      <c r="A574" s="74" t="s">
        <v>0</v>
      </c>
      <c r="B574" s="85" t="s">
        <v>116</v>
      </c>
      <c r="C574" s="93" t="s">
        <v>2</v>
      </c>
      <c r="D574" s="82"/>
      <c r="E574" s="90" t="s">
        <v>3</v>
      </c>
      <c r="F574" s="81" t="s">
        <v>4</v>
      </c>
      <c r="G574" s="82"/>
      <c r="H574" s="81" t="s">
        <v>5</v>
      </c>
      <c r="I574" s="82"/>
      <c r="J574" s="83" t="s">
        <v>6</v>
      </c>
      <c r="K574" s="82"/>
      <c r="L574" s="61" t="s">
        <v>129</v>
      </c>
      <c r="M574" s="62" t="s">
        <v>130</v>
      </c>
      <c r="N574" s="61" t="s">
        <v>131</v>
      </c>
      <c r="O574" s="62" t="s">
        <v>132</v>
      </c>
      <c r="P574" s="18" t="s">
        <v>122</v>
      </c>
    </row>
    <row r="575" spans="1:16" ht="27.6" x14ac:dyDescent="0.3">
      <c r="A575" s="75"/>
      <c r="B575" s="86"/>
      <c r="C575" s="39">
        <v>46204</v>
      </c>
      <c r="D575" s="44" t="s">
        <v>7</v>
      </c>
      <c r="E575" s="75"/>
      <c r="F575" s="40">
        <v>46235</v>
      </c>
      <c r="G575" s="49" t="s">
        <v>7</v>
      </c>
      <c r="H575" s="40">
        <v>46235</v>
      </c>
      <c r="I575" s="49" t="s">
        <v>7</v>
      </c>
      <c r="J575" s="41">
        <v>46266</v>
      </c>
      <c r="K575" s="55" t="s">
        <v>7</v>
      </c>
      <c r="L575" s="116">
        <f>F575</f>
        <v>46235</v>
      </c>
      <c r="M575" s="117"/>
      <c r="N575" s="116">
        <f>F575</f>
        <v>46235</v>
      </c>
      <c r="O575" s="117"/>
      <c r="P575" s="18"/>
    </row>
    <row r="576" spans="1:16" ht="15.6" x14ac:dyDescent="0.3">
      <c r="A576" s="33" t="s">
        <v>8</v>
      </c>
      <c r="B576" s="5" t="s">
        <v>124</v>
      </c>
      <c r="C576" s="3">
        <f>SUM(C577:C580)</f>
        <v>0</v>
      </c>
      <c r="D576" s="47"/>
      <c r="E576" s="3">
        <f>SUM(E577:E580)</f>
        <v>0</v>
      </c>
      <c r="F576" s="26">
        <f>SUM(F577:F580)</f>
        <v>0</v>
      </c>
      <c r="G576" s="54"/>
      <c r="H576" s="26">
        <f>SUM(H577:H580)</f>
        <v>0</v>
      </c>
      <c r="I576" s="51"/>
      <c r="J576" s="28">
        <f>SUM(J577:J580)</f>
        <v>0</v>
      </c>
      <c r="K576" s="60"/>
      <c r="L576" s="63">
        <f>H576-F576</f>
        <v>0</v>
      </c>
      <c r="M576" s="64">
        <f>IFERROR(L576/F576,0)</f>
        <v>0</v>
      </c>
      <c r="N576" s="63">
        <f>H576-C576</f>
        <v>0</v>
      </c>
      <c r="O576" s="64">
        <f>IFERROR(N576/C576,0)</f>
        <v>0</v>
      </c>
      <c r="P576" s="19"/>
    </row>
    <row r="577" spans="1:16" ht="15.6" x14ac:dyDescent="0.3">
      <c r="A577" s="1" t="s">
        <v>9</v>
      </c>
      <c r="B577" s="6" t="s">
        <v>117</v>
      </c>
      <c r="C577" s="24"/>
      <c r="D577" s="46"/>
      <c r="E577" s="24"/>
      <c r="F577" s="25"/>
      <c r="G577" s="51"/>
      <c r="H577" s="26"/>
      <c r="I577" s="51"/>
      <c r="J577" s="27"/>
      <c r="K577" s="57"/>
      <c r="L577" s="63">
        <f t="shared" ref="L577:L584" si="157">H577-F577</f>
        <v>0</v>
      </c>
      <c r="M577" s="64">
        <f t="shared" ref="M577:M584" si="158">IFERROR(L577/F577,0)</f>
        <v>0</v>
      </c>
      <c r="N577" s="63">
        <f t="shared" ref="N577:N584" si="159">H577-C577</f>
        <v>0</v>
      </c>
      <c r="O577" s="64">
        <f t="shared" ref="O577:O584" si="160">IFERROR(N577/C577,0)</f>
        <v>0</v>
      </c>
      <c r="P577" s="19"/>
    </row>
    <row r="578" spans="1:16" ht="15.6" x14ac:dyDescent="0.3">
      <c r="A578" s="1" t="s">
        <v>11</v>
      </c>
      <c r="B578" s="6" t="s">
        <v>112</v>
      </c>
      <c r="C578" s="24"/>
      <c r="D578" s="46"/>
      <c r="E578" s="24"/>
      <c r="F578" s="25"/>
      <c r="G578" s="51"/>
      <c r="H578" s="26"/>
      <c r="I578" s="51"/>
      <c r="J578" s="27"/>
      <c r="K578" s="57"/>
      <c r="L578" s="63">
        <f t="shared" si="157"/>
        <v>0</v>
      </c>
      <c r="M578" s="64">
        <f t="shared" si="158"/>
        <v>0</v>
      </c>
      <c r="N578" s="63">
        <f t="shared" si="159"/>
        <v>0</v>
      </c>
      <c r="O578" s="64">
        <f t="shared" si="160"/>
        <v>0</v>
      </c>
      <c r="P578" s="65"/>
    </row>
    <row r="579" spans="1:16" ht="15.6" x14ac:dyDescent="0.3">
      <c r="A579" s="1" t="s">
        <v>111</v>
      </c>
      <c r="B579" s="6" t="s">
        <v>113</v>
      </c>
      <c r="C579" s="24"/>
      <c r="D579" s="46"/>
      <c r="E579" s="24"/>
      <c r="F579" s="25"/>
      <c r="G579" s="51"/>
      <c r="H579" s="26"/>
      <c r="I579" s="51"/>
      <c r="J579" s="27"/>
      <c r="K579" s="57"/>
      <c r="L579" s="63">
        <f t="shared" si="157"/>
        <v>0</v>
      </c>
      <c r="M579" s="64">
        <f t="shared" si="158"/>
        <v>0</v>
      </c>
      <c r="N579" s="63">
        <f t="shared" si="159"/>
        <v>0</v>
      </c>
      <c r="O579" s="64">
        <f t="shared" si="160"/>
        <v>0</v>
      </c>
      <c r="P579" s="18"/>
    </row>
    <row r="580" spans="1:16" ht="15.6" x14ac:dyDescent="0.3">
      <c r="A580" s="1" t="s">
        <v>118</v>
      </c>
      <c r="B580" s="6" t="s">
        <v>119</v>
      </c>
      <c r="C580" s="24"/>
      <c r="D580" s="46"/>
      <c r="E580" s="24"/>
      <c r="F580" s="25"/>
      <c r="G580" s="51"/>
      <c r="H580" s="25"/>
      <c r="I580" s="51"/>
      <c r="J580" s="27"/>
      <c r="K580" s="57"/>
      <c r="L580" s="63">
        <f t="shared" si="157"/>
        <v>0</v>
      </c>
      <c r="M580" s="64">
        <f t="shared" si="158"/>
        <v>0</v>
      </c>
      <c r="N580" s="63">
        <f t="shared" si="159"/>
        <v>0</v>
      </c>
      <c r="O580" s="64">
        <f t="shared" si="160"/>
        <v>0</v>
      </c>
      <c r="P580" s="18"/>
    </row>
    <row r="581" spans="1:16" ht="15.6" x14ac:dyDescent="0.3">
      <c r="A581" s="33" t="s">
        <v>13</v>
      </c>
      <c r="B581" s="7" t="s">
        <v>14</v>
      </c>
      <c r="C581" s="3">
        <f>C582+C585+C586+C587+C596+C597+C598</f>
        <v>0</v>
      </c>
      <c r="D581" s="47"/>
      <c r="E581" s="3">
        <f>E582+E585+E586+E587+E596+E597+E598</f>
        <v>0</v>
      </c>
      <c r="F581" s="26">
        <f>F582+F585+F586+F587+F596+F597+F598</f>
        <v>0</v>
      </c>
      <c r="G581" s="51"/>
      <c r="H581" s="26">
        <f>H582+H585+H586+H587+H596+H597+H598</f>
        <v>0</v>
      </c>
      <c r="I581" s="51"/>
      <c r="J581" s="28">
        <f>J582+J585+J586+J587+J596+J597+J598</f>
        <v>0</v>
      </c>
      <c r="K581" s="59"/>
      <c r="L581" s="63">
        <f t="shared" si="157"/>
        <v>0</v>
      </c>
      <c r="M581" s="64">
        <f t="shared" si="158"/>
        <v>0</v>
      </c>
      <c r="N581" s="63">
        <f t="shared" si="159"/>
        <v>0</v>
      </c>
      <c r="O581" s="64">
        <f t="shared" si="160"/>
        <v>0</v>
      </c>
      <c r="P581" s="18"/>
    </row>
    <row r="582" spans="1:16" ht="15.6" x14ac:dyDescent="0.3">
      <c r="A582" s="1" t="s">
        <v>15</v>
      </c>
      <c r="B582" s="7" t="s">
        <v>16</v>
      </c>
      <c r="C582" s="24">
        <f>C583+C584</f>
        <v>0</v>
      </c>
      <c r="D582" s="46">
        <f>IFERROR(C582/$C$581,0)</f>
        <v>0</v>
      </c>
      <c r="E582" s="24">
        <f>E584+E583</f>
        <v>0</v>
      </c>
      <c r="F582" s="25">
        <f>F584+F583</f>
        <v>0</v>
      </c>
      <c r="G582" s="51">
        <f>IFERROR(F582/$F$581,0)</f>
        <v>0</v>
      </c>
      <c r="H582" s="25">
        <f>H583+H584</f>
        <v>0</v>
      </c>
      <c r="I582" s="51">
        <f>IFERROR(H582/$H$581,0)</f>
        <v>0</v>
      </c>
      <c r="J582" s="27">
        <f>J583+J584</f>
        <v>0</v>
      </c>
      <c r="K582" s="59">
        <f>IFERROR(J582/$J$581,0)</f>
        <v>0</v>
      </c>
      <c r="L582" s="63">
        <f t="shared" si="157"/>
        <v>0</v>
      </c>
      <c r="M582" s="64">
        <f t="shared" si="158"/>
        <v>0</v>
      </c>
      <c r="N582" s="63">
        <f t="shared" si="159"/>
        <v>0</v>
      </c>
      <c r="O582" s="64">
        <f t="shared" si="160"/>
        <v>0</v>
      </c>
      <c r="P582" s="18"/>
    </row>
    <row r="583" spans="1:16" ht="15.6" x14ac:dyDescent="0.3">
      <c r="A583" s="1" t="s">
        <v>17</v>
      </c>
      <c r="B583" s="8" t="s">
        <v>18</v>
      </c>
      <c r="C583" s="24"/>
      <c r="D583" s="46">
        <f t="shared" ref="D583:D598" si="161">IFERROR(C583/$C$581,0)</f>
        <v>0</v>
      </c>
      <c r="E583" s="24"/>
      <c r="F583" s="25"/>
      <c r="G583" s="51">
        <f t="shared" ref="G583:G598" si="162">IFERROR(F583/$F$581,0)</f>
        <v>0</v>
      </c>
      <c r="H583" s="25"/>
      <c r="I583" s="51">
        <f t="shared" ref="I583:I598" si="163">IFERROR(H583/$H$581,0)</f>
        <v>0</v>
      </c>
      <c r="J583" s="27"/>
      <c r="K583" s="59">
        <f t="shared" ref="K583:K598" si="164">IFERROR(J583/$J$581,0)</f>
        <v>0</v>
      </c>
      <c r="L583" s="63">
        <f t="shared" si="157"/>
        <v>0</v>
      </c>
      <c r="M583" s="64">
        <f t="shared" si="158"/>
        <v>0</v>
      </c>
      <c r="N583" s="63">
        <f t="shared" si="159"/>
        <v>0</v>
      </c>
      <c r="O583" s="64">
        <f t="shared" si="160"/>
        <v>0</v>
      </c>
      <c r="P583" s="18"/>
    </row>
    <row r="584" spans="1:16" ht="15.6" x14ac:dyDescent="0.3">
      <c r="A584" s="1" t="s">
        <v>19</v>
      </c>
      <c r="B584" s="8" t="s">
        <v>20</v>
      </c>
      <c r="C584" s="24"/>
      <c r="D584" s="46">
        <f t="shared" si="161"/>
        <v>0</v>
      </c>
      <c r="E584" s="24"/>
      <c r="F584" s="25"/>
      <c r="G584" s="51">
        <f t="shared" si="162"/>
        <v>0</v>
      </c>
      <c r="H584" s="25"/>
      <c r="I584" s="51">
        <f t="shared" si="163"/>
        <v>0</v>
      </c>
      <c r="J584" s="27"/>
      <c r="K584" s="59">
        <f t="shared" si="164"/>
        <v>0</v>
      </c>
      <c r="L584" s="63">
        <f t="shared" si="157"/>
        <v>0</v>
      </c>
      <c r="M584" s="64">
        <f t="shared" si="158"/>
        <v>0</v>
      </c>
      <c r="N584" s="63">
        <f t="shared" si="159"/>
        <v>0</v>
      </c>
      <c r="O584" s="64">
        <f t="shared" si="160"/>
        <v>0</v>
      </c>
      <c r="P584" s="18"/>
    </row>
    <row r="585" spans="1:16" ht="15.6" x14ac:dyDescent="0.3">
      <c r="A585" s="1" t="s">
        <v>21</v>
      </c>
      <c r="B585" s="7" t="s">
        <v>22</v>
      </c>
      <c r="C585" s="24"/>
      <c r="D585" s="46">
        <f t="shared" si="161"/>
        <v>0</v>
      </c>
      <c r="E585" s="24"/>
      <c r="F585" s="25"/>
      <c r="G585" s="51">
        <f t="shared" si="162"/>
        <v>0</v>
      </c>
      <c r="H585" s="25"/>
      <c r="I585" s="51">
        <f t="shared" si="163"/>
        <v>0</v>
      </c>
      <c r="J585" s="27"/>
      <c r="K585" s="59">
        <f t="shared" si="164"/>
        <v>0</v>
      </c>
      <c r="L585" s="63">
        <f t="shared" ref="L585:L599" si="165">H585-F585</f>
        <v>0</v>
      </c>
      <c r="M585" s="64">
        <f t="shared" ref="M585:M599" si="166">IFERROR(L585/F585,0)</f>
        <v>0</v>
      </c>
      <c r="N585" s="63">
        <f t="shared" ref="N585:N599" si="167">H585-C585</f>
        <v>0</v>
      </c>
      <c r="O585" s="64">
        <f t="shared" ref="O585:O599" si="168">IFERROR(N585/C585,0)</f>
        <v>0</v>
      </c>
      <c r="P585" s="18"/>
    </row>
    <row r="586" spans="1:16" ht="15.6" x14ac:dyDescent="0.3">
      <c r="A586" s="1" t="s">
        <v>23</v>
      </c>
      <c r="B586" s="7" t="s">
        <v>24</v>
      </c>
      <c r="C586" s="24"/>
      <c r="D586" s="46">
        <f t="shared" si="161"/>
        <v>0</v>
      </c>
      <c r="E586" s="24"/>
      <c r="F586" s="25"/>
      <c r="G586" s="51">
        <f t="shared" si="162"/>
        <v>0</v>
      </c>
      <c r="H586" s="25"/>
      <c r="I586" s="51">
        <f t="shared" si="163"/>
        <v>0</v>
      </c>
      <c r="J586" s="27"/>
      <c r="K586" s="59">
        <f t="shared" si="164"/>
        <v>0</v>
      </c>
      <c r="L586" s="63">
        <f t="shared" si="165"/>
        <v>0</v>
      </c>
      <c r="M586" s="64">
        <f t="shared" si="166"/>
        <v>0</v>
      </c>
      <c r="N586" s="63">
        <f t="shared" si="167"/>
        <v>0</v>
      </c>
      <c r="O586" s="64">
        <f t="shared" si="168"/>
        <v>0</v>
      </c>
      <c r="P586" s="18"/>
    </row>
    <row r="587" spans="1:16" ht="15.6" x14ac:dyDescent="0.3">
      <c r="A587" s="1" t="s">
        <v>25</v>
      </c>
      <c r="B587" s="7" t="s">
        <v>26</v>
      </c>
      <c r="C587" s="24">
        <f>SUM(C588:C595)</f>
        <v>0</v>
      </c>
      <c r="D587" s="46">
        <f t="shared" si="161"/>
        <v>0</v>
      </c>
      <c r="E587" s="24">
        <f>SUM(E588:E595)</f>
        <v>0</v>
      </c>
      <c r="F587" s="25">
        <f>SUM(F588:F595)</f>
        <v>0</v>
      </c>
      <c r="G587" s="51">
        <f t="shared" si="162"/>
        <v>0</v>
      </c>
      <c r="H587" s="25">
        <f>SUM(H588:H595)</f>
        <v>0</v>
      </c>
      <c r="I587" s="51">
        <f t="shared" si="163"/>
        <v>0</v>
      </c>
      <c r="J587" s="27">
        <f>SUM(J588:J595)</f>
        <v>0</v>
      </c>
      <c r="K587" s="59">
        <f t="shared" si="164"/>
        <v>0</v>
      </c>
      <c r="L587" s="63">
        <f t="shared" si="165"/>
        <v>0</v>
      </c>
      <c r="M587" s="64">
        <f t="shared" si="166"/>
        <v>0</v>
      </c>
      <c r="N587" s="63">
        <f t="shared" si="167"/>
        <v>0</v>
      </c>
      <c r="O587" s="64">
        <f t="shared" si="168"/>
        <v>0</v>
      </c>
      <c r="P587" s="18"/>
    </row>
    <row r="588" spans="1:16" ht="15.6" x14ac:dyDescent="0.3">
      <c r="A588" s="1" t="s">
        <v>27</v>
      </c>
      <c r="B588" s="9" t="s">
        <v>28</v>
      </c>
      <c r="C588" s="24"/>
      <c r="D588" s="46">
        <f t="shared" si="161"/>
        <v>0</v>
      </c>
      <c r="E588" s="24"/>
      <c r="F588" s="25"/>
      <c r="G588" s="51">
        <f t="shared" si="162"/>
        <v>0</v>
      </c>
      <c r="H588" s="25"/>
      <c r="I588" s="51">
        <f t="shared" si="163"/>
        <v>0</v>
      </c>
      <c r="J588" s="27"/>
      <c r="K588" s="59">
        <f t="shared" si="164"/>
        <v>0</v>
      </c>
      <c r="L588" s="63">
        <f t="shared" si="165"/>
        <v>0</v>
      </c>
      <c r="M588" s="64">
        <f t="shared" si="166"/>
        <v>0</v>
      </c>
      <c r="N588" s="63">
        <f t="shared" si="167"/>
        <v>0</v>
      </c>
      <c r="O588" s="64">
        <f t="shared" si="168"/>
        <v>0</v>
      </c>
      <c r="P588" s="18"/>
    </row>
    <row r="589" spans="1:16" ht="15.6" x14ac:dyDescent="0.3">
      <c r="A589" s="1" t="s">
        <v>29</v>
      </c>
      <c r="B589" s="9" t="s">
        <v>30</v>
      </c>
      <c r="C589" s="24"/>
      <c r="D589" s="46">
        <f t="shared" si="161"/>
        <v>0</v>
      </c>
      <c r="E589" s="24"/>
      <c r="F589" s="25"/>
      <c r="G589" s="51">
        <f t="shared" si="162"/>
        <v>0</v>
      </c>
      <c r="H589" s="25"/>
      <c r="I589" s="51">
        <f t="shared" si="163"/>
        <v>0</v>
      </c>
      <c r="J589" s="27"/>
      <c r="K589" s="59">
        <f t="shared" si="164"/>
        <v>0</v>
      </c>
      <c r="L589" s="63">
        <f t="shared" si="165"/>
        <v>0</v>
      </c>
      <c r="M589" s="64">
        <f t="shared" si="166"/>
        <v>0</v>
      </c>
      <c r="N589" s="63">
        <f t="shared" si="167"/>
        <v>0</v>
      </c>
      <c r="O589" s="64">
        <f t="shared" si="168"/>
        <v>0</v>
      </c>
      <c r="P589" s="18"/>
    </row>
    <row r="590" spans="1:16" ht="15.6" x14ac:dyDescent="0.3">
      <c r="A590" s="1" t="s">
        <v>31</v>
      </c>
      <c r="B590" s="9" t="s">
        <v>32</v>
      </c>
      <c r="C590" s="24"/>
      <c r="D590" s="46">
        <f t="shared" si="161"/>
        <v>0</v>
      </c>
      <c r="E590" s="24"/>
      <c r="F590" s="25"/>
      <c r="G590" s="51">
        <f t="shared" si="162"/>
        <v>0</v>
      </c>
      <c r="H590" s="25"/>
      <c r="I590" s="51">
        <f t="shared" si="163"/>
        <v>0</v>
      </c>
      <c r="J590" s="27"/>
      <c r="K590" s="59">
        <f t="shared" si="164"/>
        <v>0</v>
      </c>
      <c r="L590" s="63">
        <f t="shared" si="165"/>
        <v>0</v>
      </c>
      <c r="M590" s="64">
        <f t="shared" si="166"/>
        <v>0</v>
      </c>
      <c r="N590" s="63">
        <f t="shared" si="167"/>
        <v>0</v>
      </c>
      <c r="O590" s="64">
        <f t="shared" si="168"/>
        <v>0</v>
      </c>
      <c r="P590" s="18"/>
    </row>
    <row r="591" spans="1:16" ht="15.6" x14ac:dyDescent="0.3">
      <c r="A591" s="1" t="s">
        <v>33</v>
      </c>
      <c r="B591" s="9" t="s">
        <v>34</v>
      </c>
      <c r="C591" s="24"/>
      <c r="D591" s="46">
        <f t="shared" si="161"/>
        <v>0</v>
      </c>
      <c r="E591" s="24"/>
      <c r="F591" s="25"/>
      <c r="G591" s="51">
        <f t="shared" si="162"/>
        <v>0</v>
      </c>
      <c r="H591" s="25"/>
      <c r="I591" s="51">
        <f t="shared" si="163"/>
        <v>0</v>
      </c>
      <c r="J591" s="27"/>
      <c r="K591" s="59">
        <f t="shared" si="164"/>
        <v>0</v>
      </c>
      <c r="L591" s="63">
        <f t="shared" si="165"/>
        <v>0</v>
      </c>
      <c r="M591" s="64">
        <f t="shared" si="166"/>
        <v>0</v>
      </c>
      <c r="N591" s="63">
        <f t="shared" si="167"/>
        <v>0</v>
      </c>
      <c r="O591" s="64">
        <f t="shared" si="168"/>
        <v>0</v>
      </c>
      <c r="P591" s="18"/>
    </row>
    <row r="592" spans="1:16" ht="15.6" x14ac:dyDescent="0.3">
      <c r="A592" s="1" t="s">
        <v>35</v>
      </c>
      <c r="B592" s="9" t="s">
        <v>36</v>
      </c>
      <c r="C592" s="24"/>
      <c r="D592" s="46">
        <f t="shared" si="161"/>
        <v>0</v>
      </c>
      <c r="E592" s="24"/>
      <c r="F592" s="25"/>
      <c r="G592" s="51">
        <f t="shared" si="162"/>
        <v>0</v>
      </c>
      <c r="H592" s="25"/>
      <c r="I592" s="51">
        <f t="shared" si="163"/>
        <v>0</v>
      </c>
      <c r="J592" s="27"/>
      <c r="K592" s="59">
        <f t="shared" si="164"/>
        <v>0</v>
      </c>
      <c r="L592" s="63">
        <f t="shared" si="165"/>
        <v>0</v>
      </c>
      <c r="M592" s="64">
        <f t="shared" si="166"/>
        <v>0</v>
      </c>
      <c r="N592" s="63">
        <f t="shared" si="167"/>
        <v>0</v>
      </c>
      <c r="O592" s="64">
        <f t="shared" si="168"/>
        <v>0</v>
      </c>
      <c r="P592" s="18"/>
    </row>
    <row r="593" spans="1:16" ht="27.6" x14ac:dyDescent="0.3">
      <c r="A593" s="1" t="s">
        <v>37</v>
      </c>
      <c r="B593" s="9" t="s">
        <v>38</v>
      </c>
      <c r="C593" s="24"/>
      <c r="D593" s="46">
        <f t="shared" si="161"/>
        <v>0</v>
      </c>
      <c r="E593" s="24"/>
      <c r="F593" s="25"/>
      <c r="G593" s="51">
        <f t="shared" si="162"/>
        <v>0</v>
      </c>
      <c r="H593" s="25"/>
      <c r="I593" s="51">
        <f t="shared" si="163"/>
        <v>0</v>
      </c>
      <c r="J593" s="27"/>
      <c r="K593" s="59">
        <f t="shared" si="164"/>
        <v>0</v>
      </c>
      <c r="L593" s="63">
        <f t="shared" si="165"/>
        <v>0</v>
      </c>
      <c r="M593" s="64">
        <f t="shared" si="166"/>
        <v>0</v>
      </c>
      <c r="N593" s="63">
        <f t="shared" si="167"/>
        <v>0</v>
      </c>
      <c r="O593" s="64">
        <f t="shared" si="168"/>
        <v>0</v>
      </c>
      <c r="P593" s="18"/>
    </row>
    <row r="594" spans="1:16" ht="15.6" x14ac:dyDescent="0.3">
      <c r="A594" s="1" t="s">
        <v>39</v>
      </c>
      <c r="B594" s="9" t="s">
        <v>40</v>
      </c>
      <c r="C594" s="24"/>
      <c r="D594" s="46">
        <f t="shared" si="161"/>
        <v>0</v>
      </c>
      <c r="E594" s="24"/>
      <c r="F594" s="25"/>
      <c r="G594" s="51">
        <f t="shared" si="162"/>
        <v>0</v>
      </c>
      <c r="H594" s="25"/>
      <c r="I594" s="51">
        <f t="shared" si="163"/>
        <v>0</v>
      </c>
      <c r="J594" s="27"/>
      <c r="K594" s="59">
        <f t="shared" si="164"/>
        <v>0</v>
      </c>
      <c r="L594" s="63">
        <f t="shared" si="165"/>
        <v>0</v>
      </c>
      <c r="M594" s="64">
        <f t="shared" si="166"/>
        <v>0</v>
      </c>
      <c r="N594" s="63">
        <f t="shared" si="167"/>
        <v>0</v>
      </c>
      <c r="O594" s="64">
        <f t="shared" si="168"/>
        <v>0</v>
      </c>
      <c r="P594" s="18"/>
    </row>
    <row r="595" spans="1:16" ht="15.6" x14ac:dyDescent="0.3">
      <c r="A595" s="1" t="s">
        <v>41</v>
      </c>
      <c r="B595" s="9" t="s">
        <v>42</v>
      </c>
      <c r="C595" s="24"/>
      <c r="D595" s="46">
        <f t="shared" si="161"/>
        <v>0</v>
      </c>
      <c r="E595" s="24"/>
      <c r="F595" s="25"/>
      <c r="G595" s="51">
        <f t="shared" si="162"/>
        <v>0</v>
      </c>
      <c r="H595" s="25"/>
      <c r="I595" s="51">
        <f t="shared" si="163"/>
        <v>0</v>
      </c>
      <c r="J595" s="27"/>
      <c r="K595" s="59">
        <f t="shared" si="164"/>
        <v>0</v>
      </c>
      <c r="L595" s="63">
        <f t="shared" si="165"/>
        <v>0</v>
      </c>
      <c r="M595" s="64">
        <f t="shared" si="166"/>
        <v>0</v>
      </c>
      <c r="N595" s="63">
        <f t="shared" si="167"/>
        <v>0</v>
      </c>
      <c r="O595" s="64">
        <f t="shared" si="168"/>
        <v>0</v>
      </c>
      <c r="P595" s="18"/>
    </row>
    <row r="596" spans="1:16" ht="15.6" x14ac:dyDescent="0.3">
      <c r="A596" s="1" t="s">
        <v>43</v>
      </c>
      <c r="B596" s="7" t="s">
        <v>44</v>
      </c>
      <c r="C596" s="24"/>
      <c r="D596" s="46">
        <f t="shared" si="161"/>
        <v>0</v>
      </c>
      <c r="E596" s="24"/>
      <c r="F596" s="25"/>
      <c r="G596" s="51">
        <f t="shared" si="162"/>
        <v>0</v>
      </c>
      <c r="H596" s="25"/>
      <c r="I596" s="51">
        <f t="shared" si="163"/>
        <v>0</v>
      </c>
      <c r="J596" s="27"/>
      <c r="K596" s="59">
        <f t="shared" si="164"/>
        <v>0</v>
      </c>
      <c r="L596" s="63">
        <f t="shared" si="165"/>
        <v>0</v>
      </c>
      <c r="M596" s="64">
        <f t="shared" si="166"/>
        <v>0</v>
      </c>
      <c r="N596" s="63">
        <f t="shared" si="167"/>
        <v>0</v>
      </c>
      <c r="O596" s="64">
        <f t="shared" si="168"/>
        <v>0</v>
      </c>
      <c r="P596" s="18"/>
    </row>
    <row r="597" spans="1:16" ht="15.6" x14ac:dyDescent="0.3">
      <c r="A597" s="1" t="s">
        <v>45</v>
      </c>
      <c r="B597" s="7" t="s">
        <v>46</v>
      </c>
      <c r="C597" s="24"/>
      <c r="D597" s="46">
        <f t="shared" si="161"/>
        <v>0</v>
      </c>
      <c r="E597" s="24"/>
      <c r="F597" s="25"/>
      <c r="G597" s="51">
        <f t="shared" si="162"/>
        <v>0</v>
      </c>
      <c r="H597" s="25"/>
      <c r="I597" s="51">
        <f t="shared" si="163"/>
        <v>0</v>
      </c>
      <c r="J597" s="27"/>
      <c r="K597" s="59">
        <f t="shared" si="164"/>
        <v>0</v>
      </c>
      <c r="L597" s="63">
        <f t="shared" si="165"/>
        <v>0</v>
      </c>
      <c r="M597" s="64">
        <f t="shared" si="166"/>
        <v>0</v>
      </c>
      <c r="N597" s="63">
        <f t="shared" si="167"/>
        <v>0</v>
      </c>
      <c r="O597" s="64">
        <f t="shared" si="168"/>
        <v>0</v>
      </c>
      <c r="P597" s="18"/>
    </row>
    <row r="598" spans="1:16" ht="15.6" x14ac:dyDescent="0.3">
      <c r="A598" s="33" t="s">
        <v>120</v>
      </c>
      <c r="B598" s="7" t="s">
        <v>48</v>
      </c>
      <c r="C598" s="3"/>
      <c r="D598" s="46">
        <f t="shared" si="161"/>
        <v>0</v>
      </c>
      <c r="E598" s="3"/>
      <c r="F598" s="26"/>
      <c r="G598" s="51">
        <f t="shared" si="162"/>
        <v>0</v>
      </c>
      <c r="H598" s="26"/>
      <c r="I598" s="51">
        <f t="shared" si="163"/>
        <v>0</v>
      </c>
      <c r="J598" s="28"/>
      <c r="K598" s="59">
        <f t="shared" si="164"/>
        <v>0</v>
      </c>
      <c r="L598" s="63">
        <f t="shared" si="165"/>
        <v>0</v>
      </c>
      <c r="M598" s="64">
        <f t="shared" si="166"/>
        <v>0</v>
      </c>
      <c r="N598" s="63">
        <f t="shared" si="167"/>
        <v>0</v>
      </c>
      <c r="O598" s="64">
        <f t="shared" si="168"/>
        <v>0</v>
      </c>
      <c r="P598" s="18"/>
    </row>
    <row r="599" spans="1:16" ht="15.6" x14ac:dyDescent="0.3">
      <c r="A599" s="33" t="s">
        <v>47</v>
      </c>
      <c r="B599" s="11" t="s">
        <v>96</v>
      </c>
      <c r="C599" s="91">
        <f>C576-C581</f>
        <v>0</v>
      </c>
      <c r="D599" s="82"/>
      <c r="E599" s="36">
        <f>E576-E581</f>
        <v>0</v>
      </c>
      <c r="F599" s="92">
        <f>F576-F581</f>
        <v>0</v>
      </c>
      <c r="G599" s="82"/>
      <c r="H599" s="92">
        <f>H576-H581</f>
        <v>0</v>
      </c>
      <c r="I599" s="82"/>
      <c r="J599" s="89">
        <f>J576-J581</f>
        <v>0</v>
      </c>
      <c r="K599" s="82"/>
      <c r="L599" s="63">
        <f t="shared" si="165"/>
        <v>0</v>
      </c>
      <c r="M599" s="64">
        <f t="shared" si="166"/>
        <v>0</v>
      </c>
      <c r="N599" s="63">
        <f t="shared" si="167"/>
        <v>0</v>
      </c>
      <c r="O599" s="64">
        <f t="shared" si="168"/>
        <v>0</v>
      </c>
      <c r="P599" s="18"/>
    </row>
    <row r="600" spans="1:16" x14ac:dyDescent="0.3">
      <c r="A600" s="33" t="s">
        <v>95</v>
      </c>
      <c r="B600" s="11" t="s">
        <v>98</v>
      </c>
      <c r="C600" s="84">
        <f>IFERROR(C599/C576,0)</f>
        <v>0</v>
      </c>
      <c r="D600" s="77"/>
      <c r="E600" s="47">
        <f>IFERROR(E599/E576,0)</f>
        <v>0</v>
      </c>
      <c r="F600" s="76">
        <f t="shared" ref="F600" si="169">IFERROR(F599/F576,0)</f>
        <v>0</v>
      </c>
      <c r="G600" s="77"/>
      <c r="H600" s="76">
        <f t="shared" ref="H600" si="170">IFERROR(H599/H576,0)</f>
        <v>0</v>
      </c>
      <c r="I600" s="77"/>
      <c r="J600" s="80">
        <f t="shared" ref="J600" si="171">IFERROR(J599/J576,0)</f>
        <v>0</v>
      </c>
      <c r="K600" s="77"/>
    </row>
    <row r="602" spans="1:16" ht="39.6" customHeight="1" x14ac:dyDescent="0.3">
      <c r="A602" s="74" t="s">
        <v>0</v>
      </c>
      <c r="B602" s="85" t="s">
        <v>121</v>
      </c>
      <c r="C602" s="107" t="s">
        <v>2</v>
      </c>
      <c r="D602" s="108"/>
      <c r="E602" s="105" t="s">
        <v>3</v>
      </c>
      <c r="F602" s="100" t="s">
        <v>4</v>
      </c>
      <c r="G602" s="101"/>
      <c r="H602" s="100" t="s">
        <v>5</v>
      </c>
      <c r="I602" s="101"/>
      <c r="J602" s="83" t="s">
        <v>6</v>
      </c>
      <c r="K602" s="82"/>
      <c r="L602" s="61" t="s">
        <v>129</v>
      </c>
      <c r="M602" s="62" t="s">
        <v>130</v>
      </c>
      <c r="N602" s="61" t="s">
        <v>131</v>
      </c>
      <c r="O602" s="62" t="s">
        <v>132</v>
      </c>
      <c r="P602" s="18" t="s">
        <v>122</v>
      </c>
    </row>
    <row r="603" spans="1:16" ht="27.6" x14ac:dyDescent="0.3">
      <c r="A603" s="75"/>
      <c r="B603" s="86"/>
      <c r="C603" s="39">
        <v>46204</v>
      </c>
      <c r="D603" s="44" t="s">
        <v>7</v>
      </c>
      <c r="E603" s="106"/>
      <c r="F603" s="40">
        <v>46235</v>
      </c>
      <c r="G603" s="49" t="s">
        <v>7</v>
      </c>
      <c r="H603" s="40">
        <v>46235</v>
      </c>
      <c r="I603" s="49" t="s">
        <v>7</v>
      </c>
      <c r="J603" s="41">
        <v>46266</v>
      </c>
      <c r="K603" s="55" t="s">
        <v>7</v>
      </c>
      <c r="L603" s="116">
        <f>F603</f>
        <v>46235</v>
      </c>
      <c r="M603" s="117"/>
      <c r="N603" s="116">
        <f>F603</f>
        <v>46235</v>
      </c>
      <c r="O603" s="117"/>
      <c r="P603" s="18"/>
    </row>
    <row r="604" spans="1:16" ht="15.6" x14ac:dyDescent="0.3">
      <c r="A604" s="33" t="s">
        <v>13</v>
      </c>
      <c r="B604" s="7" t="s">
        <v>14</v>
      </c>
      <c r="C604" s="3">
        <f>C605+C608+C609+C610+C619+C620+C621</f>
        <v>0</v>
      </c>
      <c r="D604" s="47"/>
      <c r="E604" s="3">
        <f>E605+E608+E609+E610+E619+E620+E621</f>
        <v>0</v>
      </c>
      <c r="F604" s="26">
        <f>F605+F608+F609+F610+F619+F620+F621</f>
        <v>0</v>
      </c>
      <c r="G604" s="51"/>
      <c r="H604" s="26">
        <f>H605+H608+H609+H610+H619+H620+H621</f>
        <v>0</v>
      </c>
      <c r="I604" s="51"/>
      <c r="J604" s="28">
        <f>J605+J608+J609+J610+J619+J620+J621</f>
        <v>0</v>
      </c>
      <c r="K604" s="59"/>
      <c r="L604" s="63">
        <f>H604-F604</f>
        <v>0</v>
      </c>
      <c r="M604" s="64">
        <f>IFERROR(L604/F604,0)</f>
        <v>0</v>
      </c>
      <c r="N604" s="63">
        <f>H604-C604</f>
        <v>0</v>
      </c>
      <c r="O604" s="64">
        <f>IFERROR(N604/C604,0)</f>
        <v>0</v>
      </c>
      <c r="P604" s="19"/>
    </row>
    <row r="605" spans="1:16" ht="15.6" x14ac:dyDescent="0.3">
      <c r="A605" s="35" t="s">
        <v>15</v>
      </c>
      <c r="B605" s="7" t="s">
        <v>16</v>
      </c>
      <c r="C605" s="24">
        <f>C606+C607</f>
        <v>0</v>
      </c>
      <c r="D605" s="46">
        <f t="shared" ref="D605:D644" si="172">IFERROR(C605/$C$604,0)</f>
        <v>0</v>
      </c>
      <c r="E605" s="24">
        <f>E607+E606</f>
        <v>0</v>
      </c>
      <c r="F605" s="25">
        <f>F607+F606</f>
        <v>0</v>
      </c>
      <c r="G605" s="51">
        <f t="shared" ref="G605:G644" si="173">IFERROR(F605/$F$604,0)</f>
        <v>0</v>
      </c>
      <c r="H605" s="25">
        <f>H606+H607</f>
        <v>0</v>
      </c>
      <c r="I605" s="51">
        <f t="shared" ref="I605:I644" si="174">IFERROR(H605/$H$604,0)</f>
        <v>0</v>
      </c>
      <c r="J605" s="27">
        <f>J606+J607</f>
        <v>0</v>
      </c>
      <c r="K605" s="59">
        <f t="shared" ref="K605:K644" si="175">IFERROR(J605/$J$604,0)</f>
        <v>0</v>
      </c>
      <c r="L605" s="63">
        <f t="shared" ref="L605:L609" si="176">H605-F605</f>
        <v>0</v>
      </c>
      <c r="M605" s="64">
        <f t="shared" ref="M605:M609" si="177">IFERROR(L605/F605,0)</f>
        <v>0</v>
      </c>
      <c r="N605" s="63">
        <f t="shared" ref="N605:N609" si="178">H605-C605</f>
        <v>0</v>
      </c>
      <c r="O605" s="64">
        <f t="shared" ref="O605:O609" si="179">IFERROR(N605/C605,0)</f>
        <v>0</v>
      </c>
      <c r="P605" s="19"/>
    </row>
    <row r="606" spans="1:16" ht="15.6" x14ac:dyDescent="0.3">
      <c r="A606" s="35" t="s">
        <v>17</v>
      </c>
      <c r="B606" s="8" t="s">
        <v>18</v>
      </c>
      <c r="C606" s="24"/>
      <c r="D606" s="46">
        <f t="shared" si="172"/>
        <v>0</v>
      </c>
      <c r="E606" s="24"/>
      <c r="F606" s="25"/>
      <c r="G606" s="51">
        <f t="shared" si="173"/>
        <v>0</v>
      </c>
      <c r="H606" s="25"/>
      <c r="I606" s="51">
        <f t="shared" si="174"/>
        <v>0</v>
      </c>
      <c r="J606" s="27"/>
      <c r="K606" s="59">
        <f t="shared" si="175"/>
        <v>0</v>
      </c>
      <c r="L606" s="63">
        <f t="shared" si="176"/>
        <v>0</v>
      </c>
      <c r="M606" s="64">
        <f t="shared" si="177"/>
        <v>0</v>
      </c>
      <c r="N606" s="63">
        <f t="shared" si="178"/>
        <v>0</v>
      </c>
      <c r="O606" s="64">
        <f t="shared" si="179"/>
        <v>0</v>
      </c>
      <c r="P606" s="65"/>
    </row>
    <row r="607" spans="1:16" ht="15.6" x14ac:dyDescent="0.3">
      <c r="A607" s="35" t="s">
        <v>19</v>
      </c>
      <c r="B607" s="8" t="s">
        <v>20</v>
      </c>
      <c r="C607" s="24"/>
      <c r="D607" s="46">
        <f t="shared" si="172"/>
        <v>0</v>
      </c>
      <c r="E607" s="24"/>
      <c r="F607" s="25"/>
      <c r="G607" s="51">
        <f t="shared" si="173"/>
        <v>0</v>
      </c>
      <c r="H607" s="25"/>
      <c r="I607" s="51">
        <f t="shared" si="174"/>
        <v>0</v>
      </c>
      <c r="J607" s="27"/>
      <c r="K607" s="59">
        <f t="shared" si="175"/>
        <v>0</v>
      </c>
      <c r="L607" s="63">
        <f t="shared" si="176"/>
        <v>0</v>
      </c>
      <c r="M607" s="64">
        <f t="shared" si="177"/>
        <v>0</v>
      </c>
      <c r="N607" s="63">
        <f t="shared" si="178"/>
        <v>0</v>
      </c>
      <c r="O607" s="64">
        <f t="shared" si="179"/>
        <v>0</v>
      </c>
      <c r="P607" s="18"/>
    </row>
    <row r="608" spans="1:16" ht="15.6" x14ac:dyDescent="0.3">
      <c r="A608" s="35" t="s">
        <v>21</v>
      </c>
      <c r="B608" s="7" t="s">
        <v>22</v>
      </c>
      <c r="C608" s="24"/>
      <c r="D608" s="46">
        <f t="shared" si="172"/>
        <v>0</v>
      </c>
      <c r="E608" s="24"/>
      <c r="F608" s="25"/>
      <c r="G608" s="51">
        <f t="shared" si="173"/>
        <v>0</v>
      </c>
      <c r="H608" s="25"/>
      <c r="I608" s="51">
        <f t="shared" si="174"/>
        <v>0</v>
      </c>
      <c r="J608" s="27"/>
      <c r="K608" s="59">
        <f t="shared" si="175"/>
        <v>0</v>
      </c>
      <c r="L608" s="63">
        <f t="shared" si="176"/>
        <v>0</v>
      </c>
      <c r="M608" s="64">
        <f t="shared" si="177"/>
        <v>0</v>
      </c>
      <c r="N608" s="63">
        <f t="shared" si="178"/>
        <v>0</v>
      </c>
      <c r="O608" s="64">
        <f t="shared" si="179"/>
        <v>0</v>
      </c>
      <c r="P608" s="18"/>
    </row>
    <row r="609" spans="1:16" ht="15.6" x14ac:dyDescent="0.3">
      <c r="A609" s="35" t="s">
        <v>23</v>
      </c>
      <c r="B609" s="7" t="s">
        <v>24</v>
      </c>
      <c r="C609" s="24"/>
      <c r="D609" s="46">
        <f t="shared" si="172"/>
        <v>0</v>
      </c>
      <c r="E609" s="24"/>
      <c r="F609" s="25"/>
      <c r="G609" s="51">
        <f t="shared" si="173"/>
        <v>0</v>
      </c>
      <c r="H609" s="25"/>
      <c r="I609" s="51">
        <f t="shared" si="174"/>
        <v>0</v>
      </c>
      <c r="J609" s="27"/>
      <c r="K609" s="59">
        <f t="shared" si="175"/>
        <v>0</v>
      </c>
      <c r="L609" s="63">
        <f t="shared" si="176"/>
        <v>0</v>
      </c>
      <c r="M609" s="64">
        <f t="shared" si="177"/>
        <v>0</v>
      </c>
      <c r="N609" s="63">
        <f t="shared" si="178"/>
        <v>0</v>
      </c>
      <c r="O609" s="64">
        <f t="shared" si="179"/>
        <v>0</v>
      </c>
      <c r="P609" s="18"/>
    </row>
    <row r="610" spans="1:16" ht="15.6" x14ac:dyDescent="0.3">
      <c r="A610" s="35" t="s">
        <v>25</v>
      </c>
      <c r="B610" s="7" t="s">
        <v>26</v>
      </c>
      <c r="C610" s="24">
        <f>SUM(C611:C618)</f>
        <v>0</v>
      </c>
      <c r="D610" s="46">
        <f t="shared" si="172"/>
        <v>0</v>
      </c>
      <c r="E610" s="24">
        <f>SUM(E611:E618)</f>
        <v>0</v>
      </c>
      <c r="F610" s="25">
        <f>SUM(F611:F618)</f>
        <v>0</v>
      </c>
      <c r="G610" s="51">
        <f t="shared" si="173"/>
        <v>0</v>
      </c>
      <c r="H610" s="25">
        <f>SUM(H611:H618)</f>
        <v>0</v>
      </c>
      <c r="I610" s="51">
        <f t="shared" si="174"/>
        <v>0</v>
      </c>
      <c r="J610" s="27">
        <f>SUM(J611:J618)</f>
        <v>0</v>
      </c>
      <c r="K610" s="59">
        <f t="shared" si="175"/>
        <v>0</v>
      </c>
      <c r="L610" s="63">
        <f t="shared" ref="L610:L644" si="180">H610-F610</f>
        <v>0</v>
      </c>
      <c r="M610" s="64">
        <f t="shared" ref="M610:M644" si="181">IFERROR(L610/F610,0)</f>
        <v>0</v>
      </c>
      <c r="N610" s="63">
        <f t="shared" ref="N610:N644" si="182">H610-C610</f>
        <v>0</v>
      </c>
      <c r="O610" s="64">
        <f t="shared" ref="O610:O644" si="183">IFERROR(N610/C610,0)</f>
        <v>0</v>
      </c>
      <c r="P610" s="18"/>
    </row>
    <row r="611" spans="1:16" ht="15.6" x14ac:dyDescent="0.3">
      <c r="A611" s="35" t="s">
        <v>27</v>
      </c>
      <c r="B611" s="9" t="s">
        <v>28</v>
      </c>
      <c r="C611" s="24"/>
      <c r="D611" s="46">
        <f t="shared" si="172"/>
        <v>0</v>
      </c>
      <c r="E611" s="24"/>
      <c r="F611" s="25"/>
      <c r="G611" s="51">
        <f t="shared" si="173"/>
        <v>0</v>
      </c>
      <c r="H611" s="25"/>
      <c r="I611" s="51">
        <f t="shared" si="174"/>
        <v>0</v>
      </c>
      <c r="J611" s="27"/>
      <c r="K611" s="59">
        <f t="shared" si="175"/>
        <v>0</v>
      </c>
      <c r="L611" s="63">
        <f t="shared" si="180"/>
        <v>0</v>
      </c>
      <c r="M611" s="64">
        <f t="shared" si="181"/>
        <v>0</v>
      </c>
      <c r="N611" s="63">
        <f t="shared" si="182"/>
        <v>0</v>
      </c>
      <c r="O611" s="64">
        <f t="shared" si="183"/>
        <v>0</v>
      </c>
      <c r="P611" s="18"/>
    </row>
    <row r="612" spans="1:16" ht="15.6" x14ac:dyDescent="0.3">
      <c r="A612" s="35" t="s">
        <v>29</v>
      </c>
      <c r="B612" s="9" t="s">
        <v>30</v>
      </c>
      <c r="C612" s="24"/>
      <c r="D612" s="46">
        <f t="shared" si="172"/>
        <v>0</v>
      </c>
      <c r="E612" s="24"/>
      <c r="F612" s="25"/>
      <c r="G612" s="51">
        <f t="shared" si="173"/>
        <v>0</v>
      </c>
      <c r="H612" s="25"/>
      <c r="I612" s="51">
        <f t="shared" si="174"/>
        <v>0</v>
      </c>
      <c r="J612" s="27"/>
      <c r="K612" s="59">
        <f t="shared" si="175"/>
        <v>0</v>
      </c>
      <c r="L612" s="63">
        <f t="shared" si="180"/>
        <v>0</v>
      </c>
      <c r="M612" s="64">
        <f t="shared" si="181"/>
        <v>0</v>
      </c>
      <c r="N612" s="63">
        <f t="shared" si="182"/>
        <v>0</v>
      </c>
      <c r="O612" s="64">
        <f t="shared" si="183"/>
        <v>0</v>
      </c>
      <c r="P612" s="18"/>
    </row>
    <row r="613" spans="1:16" ht="15.6" x14ac:dyDescent="0.3">
      <c r="A613" s="35" t="s">
        <v>31</v>
      </c>
      <c r="B613" s="9" t="s">
        <v>32</v>
      </c>
      <c r="C613" s="24"/>
      <c r="D613" s="46">
        <f t="shared" si="172"/>
        <v>0</v>
      </c>
      <c r="E613" s="24"/>
      <c r="F613" s="25"/>
      <c r="G613" s="51">
        <f t="shared" si="173"/>
        <v>0</v>
      </c>
      <c r="H613" s="25"/>
      <c r="I613" s="51">
        <f t="shared" si="174"/>
        <v>0</v>
      </c>
      <c r="J613" s="27"/>
      <c r="K613" s="59">
        <f t="shared" si="175"/>
        <v>0</v>
      </c>
      <c r="L613" s="63">
        <f t="shared" si="180"/>
        <v>0</v>
      </c>
      <c r="M613" s="64">
        <f t="shared" si="181"/>
        <v>0</v>
      </c>
      <c r="N613" s="63">
        <f t="shared" si="182"/>
        <v>0</v>
      </c>
      <c r="O613" s="64">
        <f t="shared" si="183"/>
        <v>0</v>
      </c>
      <c r="P613" s="18"/>
    </row>
    <row r="614" spans="1:16" ht="15.6" x14ac:dyDescent="0.3">
      <c r="A614" s="35" t="s">
        <v>33</v>
      </c>
      <c r="B614" s="9" t="s">
        <v>34</v>
      </c>
      <c r="C614" s="24"/>
      <c r="D614" s="46">
        <f t="shared" si="172"/>
        <v>0</v>
      </c>
      <c r="E614" s="24"/>
      <c r="F614" s="25"/>
      <c r="G614" s="51">
        <f t="shared" si="173"/>
        <v>0</v>
      </c>
      <c r="H614" s="25"/>
      <c r="I614" s="51">
        <f t="shared" si="174"/>
        <v>0</v>
      </c>
      <c r="J614" s="27"/>
      <c r="K614" s="59">
        <f t="shared" si="175"/>
        <v>0</v>
      </c>
      <c r="L614" s="63">
        <f t="shared" si="180"/>
        <v>0</v>
      </c>
      <c r="M614" s="64">
        <f t="shared" si="181"/>
        <v>0</v>
      </c>
      <c r="N614" s="63">
        <f t="shared" si="182"/>
        <v>0</v>
      </c>
      <c r="O614" s="64">
        <f t="shared" si="183"/>
        <v>0</v>
      </c>
      <c r="P614" s="18"/>
    </row>
    <row r="615" spans="1:16" ht="15.6" x14ac:dyDescent="0.3">
      <c r="A615" s="35" t="s">
        <v>35</v>
      </c>
      <c r="B615" s="9" t="s">
        <v>36</v>
      </c>
      <c r="C615" s="24"/>
      <c r="D615" s="46">
        <f t="shared" si="172"/>
        <v>0</v>
      </c>
      <c r="E615" s="24"/>
      <c r="F615" s="25"/>
      <c r="G615" s="51">
        <f t="shared" si="173"/>
        <v>0</v>
      </c>
      <c r="H615" s="25"/>
      <c r="I615" s="51">
        <f t="shared" si="174"/>
        <v>0</v>
      </c>
      <c r="J615" s="27"/>
      <c r="K615" s="59">
        <f t="shared" si="175"/>
        <v>0</v>
      </c>
      <c r="L615" s="63">
        <f t="shared" si="180"/>
        <v>0</v>
      </c>
      <c r="M615" s="64">
        <f t="shared" si="181"/>
        <v>0</v>
      </c>
      <c r="N615" s="63">
        <f t="shared" si="182"/>
        <v>0</v>
      </c>
      <c r="O615" s="64">
        <f t="shared" si="183"/>
        <v>0</v>
      </c>
      <c r="P615" s="18"/>
    </row>
    <row r="616" spans="1:16" ht="27.6" x14ac:dyDescent="0.3">
      <c r="A616" s="35" t="s">
        <v>37</v>
      </c>
      <c r="B616" s="9" t="s">
        <v>38</v>
      </c>
      <c r="C616" s="24"/>
      <c r="D616" s="46">
        <f t="shared" si="172"/>
        <v>0</v>
      </c>
      <c r="E616" s="24"/>
      <c r="F616" s="25"/>
      <c r="G616" s="51">
        <f t="shared" si="173"/>
        <v>0</v>
      </c>
      <c r="H616" s="25"/>
      <c r="I616" s="51">
        <f t="shared" si="174"/>
        <v>0</v>
      </c>
      <c r="J616" s="27"/>
      <c r="K616" s="59">
        <f t="shared" si="175"/>
        <v>0</v>
      </c>
      <c r="L616" s="63">
        <f t="shared" si="180"/>
        <v>0</v>
      </c>
      <c r="M616" s="64">
        <f t="shared" si="181"/>
        <v>0</v>
      </c>
      <c r="N616" s="63">
        <f t="shared" si="182"/>
        <v>0</v>
      </c>
      <c r="O616" s="64">
        <f t="shared" si="183"/>
        <v>0</v>
      </c>
      <c r="P616" s="18"/>
    </row>
    <row r="617" spans="1:16" ht="15.6" x14ac:dyDescent="0.3">
      <c r="A617" s="35" t="s">
        <v>39</v>
      </c>
      <c r="B617" s="9" t="s">
        <v>40</v>
      </c>
      <c r="C617" s="24"/>
      <c r="D617" s="46">
        <f t="shared" si="172"/>
        <v>0</v>
      </c>
      <c r="E617" s="24"/>
      <c r="F617" s="25"/>
      <c r="G617" s="51">
        <f t="shared" si="173"/>
        <v>0</v>
      </c>
      <c r="H617" s="25"/>
      <c r="I617" s="51">
        <f t="shared" si="174"/>
        <v>0</v>
      </c>
      <c r="J617" s="27"/>
      <c r="K617" s="59">
        <f t="shared" si="175"/>
        <v>0</v>
      </c>
      <c r="L617" s="63">
        <f t="shared" si="180"/>
        <v>0</v>
      </c>
      <c r="M617" s="64">
        <f t="shared" si="181"/>
        <v>0</v>
      </c>
      <c r="N617" s="63">
        <f t="shared" si="182"/>
        <v>0</v>
      </c>
      <c r="O617" s="64">
        <f t="shared" si="183"/>
        <v>0</v>
      </c>
      <c r="P617" s="18"/>
    </row>
    <row r="618" spans="1:16" ht="15.6" x14ac:dyDescent="0.3">
      <c r="A618" s="35" t="s">
        <v>41</v>
      </c>
      <c r="B618" s="9" t="s">
        <v>42</v>
      </c>
      <c r="C618" s="24"/>
      <c r="D618" s="46">
        <f t="shared" si="172"/>
        <v>0</v>
      </c>
      <c r="E618" s="24"/>
      <c r="F618" s="25"/>
      <c r="G618" s="51">
        <f t="shared" si="173"/>
        <v>0</v>
      </c>
      <c r="H618" s="25"/>
      <c r="I618" s="51">
        <f t="shared" si="174"/>
        <v>0</v>
      </c>
      <c r="J618" s="27"/>
      <c r="K618" s="59">
        <f t="shared" si="175"/>
        <v>0</v>
      </c>
      <c r="L618" s="63">
        <f t="shared" si="180"/>
        <v>0</v>
      </c>
      <c r="M618" s="64">
        <f t="shared" si="181"/>
        <v>0</v>
      </c>
      <c r="N618" s="63">
        <f t="shared" si="182"/>
        <v>0</v>
      </c>
      <c r="O618" s="64">
        <f t="shared" si="183"/>
        <v>0</v>
      </c>
      <c r="P618" s="18"/>
    </row>
    <row r="619" spans="1:16" ht="15.6" x14ac:dyDescent="0.3">
      <c r="A619" s="35" t="s">
        <v>43</v>
      </c>
      <c r="B619" s="7" t="s">
        <v>44</v>
      </c>
      <c r="C619" s="24"/>
      <c r="D619" s="46">
        <f t="shared" si="172"/>
        <v>0</v>
      </c>
      <c r="E619" s="24"/>
      <c r="F619" s="25"/>
      <c r="G619" s="51">
        <f t="shared" si="173"/>
        <v>0</v>
      </c>
      <c r="H619" s="25"/>
      <c r="I619" s="51">
        <f t="shared" si="174"/>
        <v>0</v>
      </c>
      <c r="J619" s="27"/>
      <c r="K619" s="59">
        <f t="shared" si="175"/>
        <v>0</v>
      </c>
      <c r="L619" s="63">
        <f t="shared" si="180"/>
        <v>0</v>
      </c>
      <c r="M619" s="64">
        <f t="shared" si="181"/>
        <v>0</v>
      </c>
      <c r="N619" s="63">
        <f t="shared" si="182"/>
        <v>0</v>
      </c>
      <c r="O619" s="64">
        <f t="shared" si="183"/>
        <v>0</v>
      </c>
      <c r="P619" s="18"/>
    </row>
    <row r="620" spans="1:16" ht="15.6" x14ac:dyDescent="0.3">
      <c r="A620" s="35" t="s">
        <v>45</v>
      </c>
      <c r="B620" s="7" t="s">
        <v>46</v>
      </c>
      <c r="C620" s="24"/>
      <c r="D620" s="46">
        <f t="shared" si="172"/>
        <v>0</v>
      </c>
      <c r="E620" s="24"/>
      <c r="F620" s="25"/>
      <c r="G620" s="51">
        <f t="shared" si="173"/>
        <v>0</v>
      </c>
      <c r="H620" s="25"/>
      <c r="I620" s="51">
        <f t="shared" si="174"/>
        <v>0</v>
      </c>
      <c r="J620" s="27"/>
      <c r="K620" s="59">
        <f t="shared" si="175"/>
        <v>0</v>
      </c>
      <c r="L620" s="63">
        <f t="shared" si="180"/>
        <v>0</v>
      </c>
      <c r="M620" s="64">
        <f t="shared" si="181"/>
        <v>0</v>
      </c>
      <c r="N620" s="63">
        <f t="shared" si="182"/>
        <v>0</v>
      </c>
      <c r="O620" s="64">
        <f t="shared" si="183"/>
        <v>0</v>
      </c>
      <c r="P620" s="18"/>
    </row>
    <row r="621" spans="1:16" ht="15.6" x14ac:dyDescent="0.3">
      <c r="A621" s="33" t="s">
        <v>47</v>
      </c>
      <c r="B621" s="7" t="s">
        <v>48</v>
      </c>
      <c r="C621" s="3">
        <f>SUM(C629:C644)</f>
        <v>0</v>
      </c>
      <c r="D621" s="46">
        <f t="shared" si="172"/>
        <v>0</v>
      </c>
      <c r="E621" s="3">
        <f>SUM(E629:E644)</f>
        <v>0</v>
      </c>
      <c r="F621" s="26">
        <f>SUM(F629:F644)</f>
        <v>0</v>
      </c>
      <c r="G621" s="51">
        <f t="shared" si="173"/>
        <v>0</v>
      </c>
      <c r="H621" s="26">
        <f>SUM(H629:H644)</f>
        <v>0</v>
      </c>
      <c r="I621" s="51">
        <f t="shared" si="174"/>
        <v>0</v>
      </c>
      <c r="J621" s="28">
        <f>SUM(J629:J644)</f>
        <v>0</v>
      </c>
      <c r="K621" s="59">
        <f t="shared" si="175"/>
        <v>0</v>
      </c>
      <c r="L621" s="63">
        <f t="shared" si="180"/>
        <v>0</v>
      </c>
      <c r="M621" s="64">
        <f t="shared" si="181"/>
        <v>0</v>
      </c>
      <c r="N621" s="63">
        <f t="shared" si="182"/>
        <v>0</v>
      </c>
      <c r="O621" s="64">
        <f t="shared" si="183"/>
        <v>0</v>
      </c>
      <c r="P621" s="18"/>
    </row>
    <row r="622" spans="1:16" ht="15.6" x14ac:dyDescent="0.3">
      <c r="A622" s="2" t="s">
        <v>49</v>
      </c>
      <c r="B622" s="10" t="s">
        <v>50</v>
      </c>
      <c r="C622" s="29"/>
      <c r="D622" s="46">
        <f t="shared" si="172"/>
        <v>0</v>
      </c>
      <c r="E622" s="24"/>
      <c r="F622" s="25"/>
      <c r="G622" s="51">
        <f t="shared" si="173"/>
        <v>0</v>
      </c>
      <c r="H622" s="25"/>
      <c r="I622" s="51">
        <f t="shared" si="174"/>
        <v>0</v>
      </c>
      <c r="J622" s="27"/>
      <c r="K622" s="59">
        <f t="shared" si="175"/>
        <v>0</v>
      </c>
      <c r="L622" s="63">
        <f t="shared" si="180"/>
        <v>0</v>
      </c>
      <c r="M622" s="64">
        <f t="shared" si="181"/>
        <v>0</v>
      </c>
      <c r="N622" s="63">
        <f t="shared" si="182"/>
        <v>0</v>
      </c>
      <c r="O622" s="64">
        <f t="shared" si="183"/>
        <v>0</v>
      </c>
      <c r="P622" s="18"/>
    </row>
    <row r="623" spans="1:16" ht="15.6" x14ac:dyDescent="0.3">
      <c r="A623" s="2" t="s">
        <v>51</v>
      </c>
      <c r="B623" s="10" t="s">
        <v>52</v>
      </c>
      <c r="C623" s="24"/>
      <c r="D623" s="46">
        <f t="shared" si="172"/>
        <v>0</v>
      </c>
      <c r="E623" s="24"/>
      <c r="F623" s="25"/>
      <c r="G623" s="51">
        <f t="shared" si="173"/>
        <v>0</v>
      </c>
      <c r="H623" s="25"/>
      <c r="I623" s="51">
        <f t="shared" si="174"/>
        <v>0</v>
      </c>
      <c r="J623" s="27"/>
      <c r="K623" s="59">
        <f t="shared" si="175"/>
        <v>0</v>
      </c>
      <c r="L623" s="63">
        <f t="shared" si="180"/>
        <v>0</v>
      </c>
      <c r="M623" s="64">
        <f t="shared" si="181"/>
        <v>0</v>
      </c>
      <c r="N623" s="63">
        <f t="shared" si="182"/>
        <v>0</v>
      </c>
      <c r="O623" s="64">
        <f t="shared" si="183"/>
        <v>0</v>
      </c>
      <c r="P623" s="18"/>
    </row>
    <row r="624" spans="1:16" ht="15.6" x14ac:dyDescent="0.3">
      <c r="A624" s="2" t="s">
        <v>53</v>
      </c>
      <c r="B624" s="10" t="s">
        <v>54</v>
      </c>
      <c r="C624" s="24"/>
      <c r="D624" s="46">
        <f t="shared" si="172"/>
        <v>0</v>
      </c>
      <c r="E624" s="24"/>
      <c r="F624" s="25"/>
      <c r="G624" s="51">
        <f t="shared" si="173"/>
        <v>0</v>
      </c>
      <c r="H624" s="25"/>
      <c r="I624" s="51">
        <f t="shared" si="174"/>
        <v>0</v>
      </c>
      <c r="J624" s="27"/>
      <c r="K624" s="59">
        <f t="shared" si="175"/>
        <v>0</v>
      </c>
      <c r="L624" s="63">
        <f t="shared" si="180"/>
        <v>0</v>
      </c>
      <c r="M624" s="64">
        <f t="shared" si="181"/>
        <v>0</v>
      </c>
      <c r="N624" s="63">
        <f t="shared" si="182"/>
        <v>0</v>
      </c>
      <c r="O624" s="64">
        <f t="shared" si="183"/>
        <v>0</v>
      </c>
      <c r="P624" s="18"/>
    </row>
    <row r="625" spans="1:16" ht="15.6" x14ac:dyDescent="0.3">
      <c r="A625" s="2" t="s">
        <v>55</v>
      </c>
      <c r="B625" s="10" t="s">
        <v>56</v>
      </c>
      <c r="C625" s="24"/>
      <c r="D625" s="46">
        <f t="shared" si="172"/>
        <v>0</v>
      </c>
      <c r="E625" s="24"/>
      <c r="F625" s="25"/>
      <c r="G625" s="51">
        <f t="shared" si="173"/>
        <v>0</v>
      </c>
      <c r="H625" s="25"/>
      <c r="I625" s="51">
        <f t="shared" si="174"/>
        <v>0</v>
      </c>
      <c r="J625" s="27"/>
      <c r="K625" s="59">
        <f t="shared" si="175"/>
        <v>0</v>
      </c>
      <c r="L625" s="63">
        <f t="shared" si="180"/>
        <v>0</v>
      </c>
      <c r="M625" s="64">
        <f t="shared" si="181"/>
        <v>0</v>
      </c>
      <c r="N625" s="63">
        <f t="shared" si="182"/>
        <v>0</v>
      </c>
      <c r="O625" s="64">
        <f t="shared" si="183"/>
        <v>0</v>
      </c>
      <c r="P625" s="18"/>
    </row>
    <row r="626" spans="1:16" ht="15.6" x14ac:dyDescent="0.3">
      <c r="A626" s="2" t="s">
        <v>57</v>
      </c>
      <c r="B626" s="10" t="s">
        <v>58</v>
      </c>
      <c r="C626" s="29"/>
      <c r="D626" s="46">
        <f t="shared" si="172"/>
        <v>0</v>
      </c>
      <c r="E626" s="24"/>
      <c r="F626" s="25"/>
      <c r="G626" s="51">
        <f t="shared" si="173"/>
        <v>0</v>
      </c>
      <c r="H626" s="25"/>
      <c r="I626" s="51">
        <f t="shared" si="174"/>
        <v>0</v>
      </c>
      <c r="J626" s="27"/>
      <c r="K626" s="59">
        <f t="shared" si="175"/>
        <v>0</v>
      </c>
      <c r="L626" s="63">
        <f t="shared" si="180"/>
        <v>0</v>
      </c>
      <c r="M626" s="64">
        <f t="shared" si="181"/>
        <v>0</v>
      </c>
      <c r="N626" s="63">
        <f t="shared" si="182"/>
        <v>0</v>
      </c>
      <c r="O626" s="64">
        <f t="shared" si="183"/>
        <v>0</v>
      </c>
      <c r="P626" s="18"/>
    </row>
    <row r="627" spans="1:16" ht="15.6" x14ac:dyDescent="0.3">
      <c r="A627" s="2" t="s">
        <v>59</v>
      </c>
      <c r="B627" s="10" t="s">
        <v>60</v>
      </c>
      <c r="C627" s="24"/>
      <c r="D627" s="46">
        <f t="shared" si="172"/>
        <v>0</v>
      </c>
      <c r="E627" s="24"/>
      <c r="F627" s="25"/>
      <c r="G627" s="51">
        <f t="shared" si="173"/>
        <v>0</v>
      </c>
      <c r="H627" s="25"/>
      <c r="I627" s="51">
        <f t="shared" si="174"/>
        <v>0</v>
      </c>
      <c r="J627" s="27"/>
      <c r="K627" s="59">
        <f t="shared" si="175"/>
        <v>0</v>
      </c>
      <c r="L627" s="63">
        <f t="shared" si="180"/>
        <v>0</v>
      </c>
      <c r="M627" s="64">
        <f t="shared" si="181"/>
        <v>0</v>
      </c>
      <c r="N627" s="63">
        <f t="shared" si="182"/>
        <v>0</v>
      </c>
      <c r="O627" s="64">
        <f t="shared" si="183"/>
        <v>0</v>
      </c>
      <c r="P627" s="18"/>
    </row>
    <row r="628" spans="1:16" ht="15.6" x14ac:dyDescent="0.3">
      <c r="A628" s="2" t="s">
        <v>61</v>
      </c>
      <c r="B628" s="10" t="s">
        <v>62</v>
      </c>
      <c r="C628" s="29"/>
      <c r="D628" s="46">
        <f t="shared" si="172"/>
        <v>0</v>
      </c>
      <c r="E628" s="24"/>
      <c r="F628" s="25"/>
      <c r="G628" s="51">
        <f t="shared" si="173"/>
        <v>0</v>
      </c>
      <c r="H628" s="25"/>
      <c r="I628" s="51">
        <f t="shared" si="174"/>
        <v>0</v>
      </c>
      <c r="J628" s="27"/>
      <c r="K628" s="59">
        <f t="shared" si="175"/>
        <v>0</v>
      </c>
      <c r="L628" s="63">
        <f t="shared" si="180"/>
        <v>0</v>
      </c>
      <c r="M628" s="64">
        <f t="shared" si="181"/>
        <v>0</v>
      </c>
      <c r="N628" s="63">
        <f t="shared" si="182"/>
        <v>0</v>
      </c>
      <c r="O628" s="64">
        <f t="shared" si="183"/>
        <v>0</v>
      </c>
      <c r="P628" s="18"/>
    </row>
    <row r="629" spans="1:16" ht="15.6" x14ac:dyDescent="0.3">
      <c r="A629" s="2" t="s">
        <v>63</v>
      </c>
      <c r="B629" s="10" t="s">
        <v>64</v>
      </c>
      <c r="C629" s="24"/>
      <c r="D629" s="46">
        <f t="shared" si="172"/>
        <v>0</v>
      </c>
      <c r="E629" s="24"/>
      <c r="F629" s="25"/>
      <c r="G629" s="51">
        <f t="shared" si="173"/>
        <v>0</v>
      </c>
      <c r="H629" s="25"/>
      <c r="I629" s="51">
        <f t="shared" si="174"/>
        <v>0</v>
      </c>
      <c r="J629" s="27"/>
      <c r="K629" s="59">
        <f t="shared" si="175"/>
        <v>0</v>
      </c>
      <c r="L629" s="63">
        <f t="shared" si="180"/>
        <v>0</v>
      </c>
      <c r="M629" s="64">
        <f t="shared" si="181"/>
        <v>0</v>
      </c>
      <c r="N629" s="63">
        <f t="shared" si="182"/>
        <v>0</v>
      </c>
      <c r="O629" s="64">
        <f t="shared" si="183"/>
        <v>0</v>
      </c>
      <c r="P629" s="18"/>
    </row>
    <row r="630" spans="1:16" ht="15.6" x14ac:dyDescent="0.3">
      <c r="A630" s="2" t="s">
        <v>65</v>
      </c>
      <c r="B630" s="10" t="s">
        <v>66</v>
      </c>
      <c r="C630" s="29"/>
      <c r="D630" s="46">
        <f t="shared" si="172"/>
        <v>0</v>
      </c>
      <c r="E630" s="24"/>
      <c r="F630" s="25"/>
      <c r="G630" s="51">
        <f t="shared" si="173"/>
        <v>0</v>
      </c>
      <c r="H630" s="25"/>
      <c r="I630" s="51">
        <f t="shared" si="174"/>
        <v>0</v>
      </c>
      <c r="J630" s="27"/>
      <c r="K630" s="59">
        <f t="shared" si="175"/>
        <v>0</v>
      </c>
      <c r="L630" s="63">
        <f t="shared" si="180"/>
        <v>0</v>
      </c>
      <c r="M630" s="64">
        <f t="shared" si="181"/>
        <v>0</v>
      </c>
      <c r="N630" s="63">
        <f t="shared" si="182"/>
        <v>0</v>
      </c>
      <c r="O630" s="64">
        <f t="shared" si="183"/>
        <v>0</v>
      </c>
      <c r="P630" s="18"/>
    </row>
    <row r="631" spans="1:16" ht="15.6" x14ac:dyDescent="0.3">
      <c r="A631" s="2" t="s">
        <v>67</v>
      </c>
      <c r="B631" s="10" t="s">
        <v>68</v>
      </c>
      <c r="C631" s="29"/>
      <c r="D631" s="46">
        <f t="shared" si="172"/>
        <v>0</v>
      </c>
      <c r="E631" s="24"/>
      <c r="F631" s="25"/>
      <c r="G631" s="51">
        <f t="shared" si="173"/>
        <v>0</v>
      </c>
      <c r="H631" s="25"/>
      <c r="I631" s="51">
        <f t="shared" si="174"/>
        <v>0</v>
      </c>
      <c r="J631" s="27"/>
      <c r="K631" s="59">
        <f t="shared" si="175"/>
        <v>0</v>
      </c>
      <c r="L631" s="63">
        <f t="shared" si="180"/>
        <v>0</v>
      </c>
      <c r="M631" s="64">
        <f t="shared" si="181"/>
        <v>0</v>
      </c>
      <c r="N631" s="63">
        <f t="shared" si="182"/>
        <v>0</v>
      </c>
      <c r="O631" s="64">
        <f t="shared" si="183"/>
        <v>0</v>
      </c>
      <c r="P631" s="18"/>
    </row>
    <row r="632" spans="1:16" ht="15.6" x14ac:dyDescent="0.3">
      <c r="A632" s="2" t="s">
        <v>69</v>
      </c>
      <c r="B632" s="10" t="s">
        <v>70</v>
      </c>
      <c r="C632" s="29"/>
      <c r="D632" s="46">
        <f t="shared" si="172"/>
        <v>0</v>
      </c>
      <c r="E632" s="24"/>
      <c r="F632" s="25"/>
      <c r="G632" s="51">
        <f t="shared" si="173"/>
        <v>0</v>
      </c>
      <c r="H632" s="25"/>
      <c r="I632" s="51">
        <f t="shared" si="174"/>
        <v>0</v>
      </c>
      <c r="J632" s="27"/>
      <c r="K632" s="59">
        <f t="shared" si="175"/>
        <v>0</v>
      </c>
      <c r="L632" s="63">
        <f t="shared" si="180"/>
        <v>0</v>
      </c>
      <c r="M632" s="64">
        <f t="shared" si="181"/>
        <v>0</v>
      </c>
      <c r="N632" s="63">
        <f t="shared" si="182"/>
        <v>0</v>
      </c>
      <c r="O632" s="64">
        <f t="shared" si="183"/>
        <v>0</v>
      </c>
      <c r="P632" s="18"/>
    </row>
    <row r="633" spans="1:16" ht="15.6" x14ac:dyDescent="0.3">
      <c r="A633" s="31" t="s">
        <v>71</v>
      </c>
      <c r="B633" s="10" t="s">
        <v>72</v>
      </c>
      <c r="C633" s="29"/>
      <c r="D633" s="46">
        <f t="shared" si="172"/>
        <v>0</v>
      </c>
      <c r="E633" s="24"/>
      <c r="F633" s="25"/>
      <c r="G633" s="51">
        <f t="shared" si="173"/>
        <v>0</v>
      </c>
      <c r="H633" s="25"/>
      <c r="I633" s="51">
        <f t="shared" si="174"/>
        <v>0</v>
      </c>
      <c r="J633" s="27"/>
      <c r="K633" s="59">
        <f t="shared" si="175"/>
        <v>0</v>
      </c>
      <c r="L633" s="63">
        <f t="shared" si="180"/>
        <v>0</v>
      </c>
      <c r="M633" s="64">
        <f t="shared" si="181"/>
        <v>0</v>
      </c>
      <c r="N633" s="63">
        <f t="shared" si="182"/>
        <v>0</v>
      </c>
      <c r="O633" s="64">
        <f t="shared" si="183"/>
        <v>0</v>
      </c>
      <c r="P633" s="18"/>
    </row>
    <row r="634" spans="1:16" ht="15.6" x14ac:dyDescent="0.3">
      <c r="A634" s="2" t="s">
        <v>73</v>
      </c>
      <c r="B634" s="10" t="s">
        <v>74</v>
      </c>
      <c r="C634" s="24"/>
      <c r="D634" s="46">
        <f t="shared" si="172"/>
        <v>0</v>
      </c>
      <c r="E634" s="24"/>
      <c r="F634" s="25"/>
      <c r="G634" s="51">
        <f t="shared" si="173"/>
        <v>0</v>
      </c>
      <c r="H634" s="25"/>
      <c r="I634" s="51">
        <f t="shared" si="174"/>
        <v>0</v>
      </c>
      <c r="J634" s="27"/>
      <c r="K634" s="59">
        <f t="shared" si="175"/>
        <v>0</v>
      </c>
      <c r="L634" s="63">
        <f t="shared" si="180"/>
        <v>0</v>
      </c>
      <c r="M634" s="64">
        <f t="shared" si="181"/>
        <v>0</v>
      </c>
      <c r="N634" s="63">
        <f t="shared" si="182"/>
        <v>0</v>
      </c>
      <c r="O634" s="64">
        <f t="shared" si="183"/>
        <v>0</v>
      </c>
      <c r="P634" s="18"/>
    </row>
    <row r="635" spans="1:16" ht="15.6" x14ac:dyDescent="0.3">
      <c r="A635" s="18" t="s">
        <v>75</v>
      </c>
      <c r="B635" s="10" t="s">
        <v>76</v>
      </c>
      <c r="C635" s="29"/>
      <c r="D635" s="46">
        <f t="shared" si="172"/>
        <v>0</v>
      </c>
      <c r="E635" s="24"/>
      <c r="F635" s="25"/>
      <c r="G635" s="51">
        <f t="shared" si="173"/>
        <v>0</v>
      </c>
      <c r="H635" s="25"/>
      <c r="I635" s="51">
        <f t="shared" si="174"/>
        <v>0</v>
      </c>
      <c r="J635" s="27"/>
      <c r="K635" s="59">
        <f t="shared" si="175"/>
        <v>0</v>
      </c>
      <c r="L635" s="63">
        <f t="shared" si="180"/>
        <v>0</v>
      </c>
      <c r="M635" s="64">
        <f t="shared" si="181"/>
        <v>0</v>
      </c>
      <c r="N635" s="63">
        <f t="shared" si="182"/>
        <v>0</v>
      </c>
      <c r="O635" s="64">
        <f t="shared" si="183"/>
        <v>0</v>
      </c>
      <c r="P635" s="18"/>
    </row>
    <row r="636" spans="1:16" ht="15.6" x14ac:dyDescent="0.3">
      <c r="A636" s="2" t="s">
        <v>77</v>
      </c>
      <c r="B636" s="10" t="s">
        <v>78</v>
      </c>
      <c r="C636" s="29"/>
      <c r="D636" s="46">
        <f t="shared" si="172"/>
        <v>0</v>
      </c>
      <c r="E636" s="24"/>
      <c r="F636" s="25"/>
      <c r="G636" s="51">
        <f t="shared" si="173"/>
        <v>0</v>
      </c>
      <c r="H636" s="25"/>
      <c r="I636" s="51">
        <f t="shared" si="174"/>
        <v>0</v>
      </c>
      <c r="J636" s="27"/>
      <c r="K636" s="59">
        <f t="shared" si="175"/>
        <v>0</v>
      </c>
      <c r="L636" s="63">
        <f t="shared" si="180"/>
        <v>0</v>
      </c>
      <c r="M636" s="64">
        <f t="shared" si="181"/>
        <v>0</v>
      </c>
      <c r="N636" s="63">
        <f t="shared" si="182"/>
        <v>0</v>
      </c>
      <c r="O636" s="64">
        <f t="shared" si="183"/>
        <v>0</v>
      </c>
      <c r="P636" s="18"/>
    </row>
    <row r="637" spans="1:16" ht="15.6" x14ac:dyDescent="0.3">
      <c r="A637" s="18" t="s">
        <v>79</v>
      </c>
      <c r="B637" s="10" t="s">
        <v>80</v>
      </c>
      <c r="C637" s="24"/>
      <c r="D637" s="46">
        <f t="shared" si="172"/>
        <v>0</v>
      </c>
      <c r="E637" s="24"/>
      <c r="F637" s="25"/>
      <c r="G637" s="51">
        <f t="shared" si="173"/>
        <v>0</v>
      </c>
      <c r="H637" s="25"/>
      <c r="I637" s="51">
        <f t="shared" si="174"/>
        <v>0</v>
      </c>
      <c r="J637" s="27"/>
      <c r="K637" s="59">
        <f t="shared" si="175"/>
        <v>0</v>
      </c>
      <c r="L637" s="63">
        <f t="shared" si="180"/>
        <v>0</v>
      </c>
      <c r="M637" s="64">
        <f t="shared" si="181"/>
        <v>0</v>
      </c>
      <c r="N637" s="63">
        <f t="shared" si="182"/>
        <v>0</v>
      </c>
      <c r="O637" s="64">
        <f t="shared" si="183"/>
        <v>0</v>
      </c>
      <c r="P637" s="18"/>
    </row>
    <row r="638" spans="1:16" ht="15.6" x14ac:dyDescent="0.3">
      <c r="A638" s="2" t="s">
        <v>81</v>
      </c>
      <c r="B638" s="10" t="s">
        <v>82</v>
      </c>
      <c r="C638" s="24"/>
      <c r="D638" s="46">
        <f t="shared" si="172"/>
        <v>0</v>
      </c>
      <c r="E638" s="24"/>
      <c r="F638" s="25"/>
      <c r="G638" s="51">
        <f t="shared" si="173"/>
        <v>0</v>
      </c>
      <c r="H638" s="25"/>
      <c r="I638" s="51">
        <f t="shared" si="174"/>
        <v>0</v>
      </c>
      <c r="J638" s="27"/>
      <c r="K638" s="59">
        <f t="shared" si="175"/>
        <v>0</v>
      </c>
      <c r="L638" s="63">
        <f t="shared" si="180"/>
        <v>0</v>
      </c>
      <c r="M638" s="64">
        <f t="shared" si="181"/>
        <v>0</v>
      </c>
      <c r="N638" s="63">
        <f t="shared" si="182"/>
        <v>0</v>
      </c>
      <c r="O638" s="64">
        <f t="shared" si="183"/>
        <v>0</v>
      </c>
      <c r="P638" s="18"/>
    </row>
    <row r="639" spans="1:16" ht="15.6" x14ac:dyDescent="0.3">
      <c r="A639" s="2" t="s">
        <v>83</v>
      </c>
      <c r="B639" s="10" t="s">
        <v>84</v>
      </c>
      <c r="C639" s="24"/>
      <c r="D639" s="46">
        <f t="shared" si="172"/>
        <v>0</v>
      </c>
      <c r="E639" s="24"/>
      <c r="F639" s="25"/>
      <c r="G639" s="51">
        <f t="shared" si="173"/>
        <v>0</v>
      </c>
      <c r="H639" s="25"/>
      <c r="I639" s="51">
        <f t="shared" si="174"/>
        <v>0</v>
      </c>
      <c r="J639" s="27"/>
      <c r="K639" s="59">
        <f t="shared" si="175"/>
        <v>0</v>
      </c>
      <c r="L639" s="63">
        <f t="shared" si="180"/>
        <v>0</v>
      </c>
      <c r="M639" s="64">
        <f t="shared" si="181"/>
        <v>0</v>
      </c>
      <c r="N639" s="63">
        <f t="shared" si="182"/>
        <v>0</v>
      </c>
      <c r="O639" s="64">
        <f t="shared" si="183"/>
        <v>0</v>
      </c>
      <c r="P639" s="18"/>
    </row>
    <row r="640" spans="1:16" ht="15.6" x14ac:dyDescent="0.3">
      <c r="A640" s="2" t="s">
        <v>85</v>
      </c>
      <c r="B640" s="10" t="s">
        <v>86</v>
      </c>
      <c r="C640" s="29"/>
      <c r="D640" s="46">
        <f t="shared" si="172"/>
        <v>0</v>
      </c>
      <c r="E640" s="24"/>
      <c r="F640" s="25"/>
      <c r="G640" s="51">
        <f t="shared" si="173"/>
        <v>0</v>
      </c>
      <c r="H640" s="25"/>
      <c r="I640" s="51">
        <f t="shared" si="174"/>
        <v>0</v>
      </c>
      <c r="J640" s="27"/>
      <c r="K640" s="59">
        <f t="shared" si="175"/>
        <v>0</v>
      </c>
      <c r="L640" s="63">
        <f t="shared" si="180"/>
        <v>0</v>
      </c>
      <c r="M640" s="64">
        <f t="shared" si="181"/>
        <v>0</v>
      </c>
      <c r="N640" s="63">
        <f t="shared" si="182"/>
        <v>0</v>
      </c>
      <c r="O640" s="64">
        <f t="shared" si="183"/>
        <v>0</v>
      </c>
      <c r="P640" s="18"/>
    </row>
    <row r="641" spans="1:16" ht="15.6" x14ac:dyDescent="0.3">
      <c r="A641" s="2" t="s">
        <v>87</v>
      </c>
      <c r="B641" s="10" t="s">
        <v>88</v>
      </c>
      <c r="C641" s="29"/>
      <c r="D641" s="46">
        <f t="shared" si="172"/>
        <v>0</v>
      </c>
      <c r="E641" s="24"/>
      <c r="F641" s="25"/>
      <c r="G641" s="51">
        <f t="shared" si="173"/>
        <v>0</v>
      </c>
      <c r="H641" s="25"/>
      <c r="I641" s="51">
        <f t="shared" si="174"/>
        <v>0</v>
      </c>
      <c r="J641" s="27"/>
      <c r="K641" s="59">
        <f t="shared" si="175"/>
        <v>0</v>
      </c>
      <c r="L641" s="63">
        <f t="shared" si="180"/>
        <v>0</v>
      </c>
      <c r="M641" s="64">
        <f t="shared" si="181"/>
        <v>0</v>
      </c>
      <c r="N641" s="63">
        <f t="shared" si="182"/>
        <v>0</v>
      </c>
      <c r="O641" s="64">
        <f t="shared" si="183"/>
        <v>0</v>
      </c>
      <c r="P641" s="18"/>
    </row>
    <row r="642" spans="1:16" ht="15.6" x14ac:dyDescent="0.3">
      <c r="A642" s="2" t="s">
        <v>89</v>
      </c>
      <c r="B642" s="10" t="s">
        <v>90</v>
      </c>
      <c r="C642" s="24"/>
      <c r="D642" s="46">
        <f t="shared" si="172"/>
        <v>0</v>
      </c>
      <c r="E642" s="24"/>
      <c r="F642" s="25"/>
      <c r="G642" s="51">
        <f t="shared" si="173"/>
        <v>0</v>
      </c>
      <c r="H642" s="25"/>
      <c r="I642" s="51">
        <f t="shared" si="174"/>
        <v>0</v>
      </c>
      <c r="J642" s="27"/>
      <c r="K642" s="59">
        <f t="shared" si="175"/>
        <v>0</v>
      </c>
      <c r="L642" s="63">
        <f t="shared" si="180"/>
        <v>0</v>
      </c>
      <c r="M642" s="64">
        <f t="shared" si="181"/>
        <v>0</v>
      </c>
      <c r="N642" s="63">
        <f t="shared" si="182"/>
        <v>0</v>
      </c>
      <c r="O642" s="64">
        <f t="shared" si="183"/>
        <v>0</v>
      </c>
      <c r="P642" s="18"/>
    </row>
    <row r="643" spans="1:16" ht="15.6" x14ac:dyDescent="0.3">
      <c r="A643" s="2" t="s">
        <v>91</v>
      </c>
      <c r="B643" s="10" t="s">
        <v>92</v>
      </c>
      <c r="C643" s="29"/>
      <c r="D643" s="46">
        <f t="shared" si="172"/>
        <v>0</v>
      </c>
      <c r="E643" s="24"/>
      <c r="F643" s="25"/>
      <c r="G643" s="51">
        <f t="shared" si="173"/>
        <v>0</v>
      </c>
      <c r="H643" s="25"/>
      <c r="I643" s="51">
        <f t="shared" si="174"/>
        <v>0</v>
      </c>
      <c r="J643" s="27"/>
      <c r="K643" s="59">
        <f t="shared" si="175"/>
        <v>0</v>
      </c>
      <c r="L643" s="63">
        <f t="shared" si="180"/>
        <v>0</v>
      </c>
      <c r="M643" s="64">
        <f t="shared" si="181"/>
        <v>0</v>
      </c>
      <c r="N643" s="63">
        <f t="shared" si="182"/>
        <v>0</v>
      </c>
      <c r="O643" s="64">
        <f t="shared" si="183"/>
        <v>0</v>
      </c>
      <c r="P643" s="18"/>
    </row>
    <row r="644" spans="1:16" ht="15.6" x14ac:dyDescent="0.3">
      <c r="A644" s="2" t="s">
        <v>93</v>
      </c>
      <c r="B644" s="10" t="s">
        <v>94</v>
      </c>
      <c r="C644" s="29"/>
      <c r="D644" s="46">
        <f t="shared" si="172"/>
        <v>0</v>
      </c>
      <c r="E644" s="24"/>
      <c r="F644" s="25"/>
      <c r="G644" s="51">
        <f t="shared" si="173"/>
        <v>0</v>
      </c>
      <c r="H644" s="25"/>
      <c r="I644" s="51">
        <f t="shared" si="174"/>
        <v>0</v>
      </c>
      <c r="J644" s="27"/>
      <c r="K644" s="59">
        <f t="shared" si="175"/>
        <v>0</v>
      </c>
      <c r="L644" s="63">
        <f t="shared" si="180"/>
        <v>0</v>
      </c>
      <c r="M644" s="64">
        <f t="shared" si="181"/>
        <v>0</v>
      </c>
      <c r="N644" s="63">
        <f t="shared" si="182"/>
        <v>0</v>
      </c>
      <c r="O644" s="64">
        <f t="shared" si="183"/>
        <v>0</v>
      </c>
      <c r="P644" s="18"/>
    </row>
    <row r="645" spans="1:16" x14ac:dyDescent="0.3">
      <c r="A645" s="34" t="s">
        <v>95</v>
      </c>
      <c r="B645" s="11" t="s">
        <v>96</v>
      </c>
      <c r="C645" s="114">
        <f>C599-C604</f>
        <v>0</v>
      </c>
      <c r="D645" s="115"/>
      <c r="E645" s="3">
        <f>E599-E604</f>
        <v>0</v>
      </c>
      <c r="F645" s="96">
        <f>F599-F604</f>
        <v>0</v>
      </c>
      <c r="G645" s="97"/>
      <c r="H645" s="96">
        <f>H599-H604</f>
        <v>0</v>
      </c>
      <c r="I645" s="97"/>
      <c r="J645" s="109">
        <f>J599-J604</f>
        <v>0</v>
      </c>
      <c r="K645" s="110"/>
    </row>
    <row r="646" spans="1:16" x14ac:dyDescent="0.3">
      <c r="A646" s="34" t="s">
        <v>97</v>
      </c>
      <c r="B646" s="11" t="s">
        <v>98</v>
      </c>
      <c r="C646" s="98">
        <f>IFERROR(C645/C576,0)</f>
        <v>0</v>
      </c>
      <c r="D646" s="99"/>
      <c r="E646" s="47">
        <f>IFERROR(E645/E576,0)</f>
        <v>0</v>
      </c>
      <c r="F646" s="72">
        <f>IFERROR(F645/F576,0)</f>
        <v>0</v>
      </c>
      <c r="G646" s="73"/>
      <c r="H646" s="72">
        <f>IFERROR(H645/H576,0)</f>
        <v>0</v>
      </c>
      <c r="I646" s="73"/>
      <c r="J646" s="112">
        <f>IFERROR(J645/J576,0)</f>
        <v>0</v>
      </c>
      <c r="K646" s="113"/>
    </row>
    <row r="647" spans="1:16" x14ac:dyDescent="0.3">
      <c r="A647" s="34" t="s">
        <v>99</v>
      </c>
      <c r="B647" s="11" t="s">
        <v>100</v>
      </c>
      <c r="C647" s="98">
        <f>C645/C649</f>
        <v>0</v>
      </c>
      <c r="D647" s="99"/>
      <c r="E647" s="47">
        <f>E645/C649</f>
        <v>0</v>
      </c>
      <c r="F647" s="72">
        <f>F645/C649</f>
        <v>0</v>
      </c>
      <c r="G647" s="73"/>
      <c r="H647" s="72">
        <f>H645/C649</f>
        <v>0</v>
      </c>
      <c r="I647" s="73"/>
      <c r="J647" s="112">
        <f>J645/C649</f>
        <v>0</v>
      </c>
      <c r="K647" s="113"/>
    </row>
    <row r="648" spans="1:16" x14ac:dyDescent="0.3">
      <c r="A648" s="34" t="s">
        <v>101</v>
      </c>
      <c r="B648" s="11" t="s">
        <v>102</v>
      </c>
      <c r="C648" s="98">
        <f>C647*12</f>
        <v>0</v>
      </c>
      <c r="D648" s="99"/>
      <c r="E648" s="47">
        <f>E647*12</f>
        <v>0</v>
      </c>
      <c r="F648" s="72">
        <f>F647*12</f>
        <v>0</v>
      </c>
      <c r="G648" s="73"/>
      <c r="H648" s="72">
        <f>H647*12</f>
        <v>0</v>
      </c>
      <c r="I648" s="73"/>
      <c r="J648" s="112">
        <f>J647*12</f>
        <v>0</v>
      </c>
      <c r="K648" s="113"/>
    </row>
    <row r="649" spans="1:16" x14ac:dyDescent="0.3">
      <c r="A649" s="34" t="s">
        <v>103</v>
      </c>
      <c r="B649" s="12" t="s">
        <v>104</v>
      </c>
      <c r="C649" s="102">
        <v>7454963</v>
      </c>
      <c r="D649" s="103"/>
    </row>
    <row r="656" spans="1:16" x14ac:dyDescent="0.3">
      <c r="B656" s="68" t="s">
        <v>123</v>
      </c>
    </row>
    <row r="657" spans="2:10" x14ac:dyDescent="0.3">
      <c r="B657" s="13" t="s">
        <v>124</v>
      </c>
      <c r="C657" s="70">
        <f>(SUMIF($B$3:$B$572,"Выручка",C3:C572))-C576-C263-C315-C524</f>
        <v>0</v>
      </c>
      <c r="D657" s="70"/>
      <c r="E657" s="70">
        <f>(SUMIF($B$3:$B$572,"Выручка",E3:E572))-E576-E263-E315-E524</f>
        <v>0</v>
      </c>
      <c r="F657" s="70">
        <f>(SUMIF($B$3:$B$572,"Выручка",F3:F572))-F576-F263-F315-F524</f>
        <v>0</v>
      </c>
      <c r="G657" s="70"/>
      <c r="H657" s="70">
        <f>(SUMIF($B$3:$B$572,"Выручка",H3:H572))-H576-H263-H315-H524</f>
        <v>0</v>
      </c>
      <c r="I657" s="70"/>
      <c r="J657" s="70">
        <f>(SUMIF($B$3:$B$572,"Выручка",J3:J572))-J576-J263-J315-J524</f>
        <v>0</v>
      </c>
    </row>
    <row r="658" spans="2:10" x14ac:dyDescent="0.3">
      <c r="B658" s="13" t="s">
        <v>14</v>
      </c>
      <c r="C658" s="70">
        <f>SUMIF($B$3:$B$572,"Расходы",C3:C572)-C581-C266-C315-C524</f>
        <v>0</v>
      </c>
      <c r="D658" s="70"/>
      <c r="E658" s="70">
        <f>SUMIF($B$3:$B$572,"Расходы",E3:E572)-E581-E266-E315-E524</f>
        <v>0</v>
      </c>
      <c r="F658" s="70">
        <f>SUMIF($B$3:$B$572,"Расходы",F3:F572)-F581-F266-F315-F524</f>
        <v>0</v>
      </c>
      <c r="G658" s="70"/>
      <c r="H658" s="70">
        <f>SUMIF($B$3:$B$572,"Расходы",H3:H572)-H581-H266-H315-H524</f>
        <v>0</v>
      </c>
      <c r="I658" s="70"/>
      <c r="J658" s="70">
        <f>SUMIF($B$3:$B$572,"Расходы",J3:J572)-J581-J266-J315-J524</f>
        <v>0</v>
      </c>
    </row>
    <row r="659" spans="2:10" x14ac:dyDescent="0.3">
      <c r="B659" s="13" t="s">
        <v>125</v>
      </c>
      <c r="C659" s="70">
        <f>SUMIF($B$3:$B$572,"Валовая Прибыль",C3:C572)-C599-C307-C360-C568</f>
        <v>0</v>
      </c>
      <c r="D659" s="70"/>
      <c r="E659" s="70">
        <f>SUMIF($B$3:$B$572,"Валовая Прибыль",E3:E572)-E599-E307-E360-E568</f>
        <v>0</v>
      </c>
      <c r="F659" s="70">
        <f>SUMIF($B$3:$B$572,"Валовая Прибыль",F3:F572)-F599-F307-F360-F568</f>
        <v>0</v>
      </c>
      <c r="G659" s="70"/>
      <c r="H659" s="70">
        <f>SUMIF($B$3:$B$572,"Валовая Прибыль",H3:H572)-H599-H307-H360-H568</f>
        <v>0</v>
      </c>
      <c r="I659" s="70"/>
      <c r="J659" s="70">
        <f>SUMIF($B$3:$B$572,"Валовая Прибыль",J3:J572)-J599-J307-J360-J568</f>
        <v>0</v>
      </c>
    </row>
    <row r="662" spans="2:10" x14ac:dyDescent="0.3">
      <c r="C662" s="69"/>
      <c r="D662" s="69"/>
      <c r="E662" s="69"/>
      <c r="F662" s="69"/>
      <c r="G662" s="69"/>
      <c r="H662" s="69"/>
      <c r="I662" s="69"/>
      <c r="J662" s="69"/>
    </row>
    <row r="663" spans="2:10" x14ac:dyDescent="0.3">
      <c r="C663" s="69"/>
      <c r="D663" s="69"/>
      <c r="E663" s="69"/>
      <c r="F663" s="69"/>
      <c r="G663" s="69"/>
      <c r="H663" s="69"/>
      <c r="I663" s="69"/>
      <c r="J663" s="69"/>
    </row>
    <row r="664" spans="2:10" x14ac:dyDescent="0.3">
      <c r="C664" s="69"/>
      <c r="D664" s="69"/>
      <c r="E664" s="69"/>
      <c r="F664" s="69"/>
      <c r="G664" s="69"/>
      <c r="H664" s="69"/>
      <c r="I664" s="69"/>
      <c r="J664" s="69"/>
    </row>
    <row r="665" spans="2:10" x14ac:dyDescent="0.3">
      <c r="C665" s="71"/>
    </row>
  </sheetData>
  <mergeCells count="329">
    <mergeCell ref="L575:M575"/>
    <mergeCell ref="N575:O575"/>
    <mergeCell ref="L603:M603"/>
    <mergeCell ref="N603:O603"/>
    <mergeCell ref="L419:M419"/>
    <mergeCell ref="N419:O419"/>
    <mergeCell ref="L471:M471"/>
    <mergeCell ref="N471:O471"/>
    <mergeCell ref="F467:G467"/>
    <mergeCell ref="F466:G466"/>
    <mergeCell ref="H466:I466"/>
    <mergeCell ref="L523:M523"/>
    <mergeCell ref="N523:O523"/>
    <mergeCell ref="L262:M262"/>
    <mergeCell ref="N262:O262"/>
    <mergeCell ref="L314:M314"/>
    <mergeCell ref="N314:O314"/>
    <mergeCell ref="L367:M367"/>
    <mergeCell ref="N367:O367"/>
    <mergeCell ref="J309:K309"/>
    <mergeCell ref="J308:K308"/>
    <mergeCell ref="J362:K362"/>
    <mergeCell ref="L2:M2"/>
    <mergeCell ref="N2:O2"/>
    <mergeCell ref="L54:M54"/>
    <mergeCell ref="N54:O54"/>
    <mergeCell ref="L106:M106"/>
    <mergeCell ref="N106:O106"/>
    <mergeCell ref="L158:M158"/>
    <mergeCell ref="N158:O158"/>
    <mergeCell ref="L210:M210"/>
    <mergeCell ref="N210:O210"/>
    <mergeCell ref="A157:A158"/>
    <mergeCell ref="J261:K261"/>
    <mergeCell ref="J255:K255"/>
    <mergeCell ref="E470:E471"/>
    <mergeCell ref="B313:B314"/>
    <mergeCell ref="A366:A367"/>
    <mergeCell ref="C47:D47"/>
    <mergeCell ref="B105:B106"/>
    <mergeCell ref="F49:G49"/>
    <mergeCell ref="H49:I49"/>
    <mergeCell ref="C53:D53"/>
    <mergeCell ref="J53:K53"/>
    <mergeCell ref="F366:G366"/>
    <mergeCell ref="C205:D205"/>
    <mergeCell ref="A105:A106"/>
    <mergeCell ref="C50:D50"/>
    <mergeCell ref="H309:I309"/>
    <mergeCell ref="J47:K47"/>
    <mergeCell ref="C203:D203"/>
    <mergeCell ref="J99:K99"/>
    <mergeCell ref="H153:I153"/>
    <mergeCell ref="C51:D51"/>
    <mergeCell ref="F261:G261"/>
    <mergeCell ref="C154:D154"/>
    <mergeCell ref="H1:I1"/>
    <mergeCell ref="J1:K1"/>
    <mergeCell ref="J648:K648"/>
    <mergeCell ref="H151:I151"/>
    <mergeCell ref="J151:K151"/>
    <mergeCell ref="F310:G310"/>
    <mergeCell ref="C309:D309"/>
    <mergeCell ref="F105:G105"/>
    <mergeCell ref="E313:E314"/>
    <mergeCell ref="H105:I105"/>
    <mergeCell ref="J361:K361"/>
    <mergeCell ref="C599:D599"/>
    <mergeCell ref="F518:G518"/>
    <mergeCell ref="H518:I518"/>
    <mergeCell ref="C522:D522"/>
    <mergeCell ref="F470:G470"/>
    <mergeCell ref="J647:K647"/>
    <mergeCell ref="F99:G99"/>
    <mergeCell ref="J412:K412"/>
    <mergeCell ref="J522:K522"/>
    <mergeCell ref="J414:K414"/>
    <mergeCell ref="E1:E2"/>
    <mergeCell ref="F517:G517"/>
    <mergeCell ref="C516:D516"/>
    <mergeCell ref="F47:G47"/>
    <mergeCell ref="E261:E262"/>
    <mergeCell ref="F209:G209"/>
    <mergeCell ref="J49:K49"/>
    <mergeCell ref="E105:E106"/>
    <mergeCell ref="H53:I53"/>
    <mergeCell ref="C204:D204"/>
    <mergeCell ref="F205:G205"/>
    <mergeCell ref="H50:I50"/>
    <mergeCell ref="C101:D101"/>
    <mergeCell ref="C206:D206"/>
    <mergeCell ref="E53:E54"/>
    <mergeCell ref="H48:I48"/>
    <mergeCell ref="C48:D48"/>
    <mergeCell ref="F154:G154"/>
    <mergeCell ref="C157:D157"/>
    <mergeCell ref="H47:I47"/>
    <mergeCell ref="H258:I258"/>
    <mergeCell ref="J258:K258"/>
    <mergeCell ref="J105:K105"/>
    <mergeCell ref="F151:G151"/>
    <mergeCell ref="C99:D99"/>
    <mergeCell ref="F100:G100"/>
    <mergeCell ref="H99:I99"/>
    <mergeCell ref="A602:A603"/>
    <mergeCell ref="F569:G569"/>
    <mergeCell ref="F646:G646"/>
    <mergeCell ref="H646:I646"/>
    <mergeCell ref="J571:K571"/>
    <mergeCell ref="J599:K599"/>
    <mergeCell ref="C570:D570"/>
    <mergeCell ref="J574:K574"/>
    <mergeCell ref="H602:I602"/>
    <mergeCell ref="H569:I569"/>
    <mergeCell ref="J600:K600"/>
    <mergeCell ref="H600:I600"/>
    <mergeCell ref="A574:A575"/>
    <mergeCell ref="J602:K602"/>
    <mergeCell ref="H645:I645"/>
    <mergeCell ref="H574:I574"/>
    <mergeCell ref="C571:D571"/>
    <mergeCell ref="B602:B603"/>
    <mergeCell ref="C646:D646"/>
    <mergeCell ref="F600:G600"/>
    <mergeCell ref="C574:D574"/>
    <mergeCell ref="H648:I648"/>
    <mergeCell ref="J48:K48"/>
    <mergeCell ref="J418:K418"/>
    <mergeCell ref="C155:D155"/>
    <mergeCell ref="H205:I205"/>
    <mergeCell ref="J205:K205"/>
    <mergeCell ref="J50:K50"/>
    <mergeCell ref="H571:I571"/>
    <mergeCell ref="C470:D470"/>
    <mergeCell ref="H517:I517"/>
    <mergeCell ref="J153:K153"/>
    <mergeCell ref="J360:K360"/>
    <mergeCell ref="J517:K517"/>
    <mergeCell ref="J646:K646"/>
    <mergeCell ref="J568:K568"/>
    <mergeCell ref="J467:K467"/>
    <mergeCell ref="J569:K569"/>
    <mergeCell ref="F413:G413"/>
    <mergeCell ref="F50:G50"/>
    <mergeCell ref="C153:D153"/>
    <mergeCell ref="J366:K366"/>
    <mergeCell ref="C647:D647"/>
    <mergeCell ref="C645:D645"/>
    <mergeCell ref="F568:G568"/>
    <mergeCell ref="F414:G414"/>
    <mergeCell ref="J645:K645"/>
    <mergeCell ref="J157:K157"/>
    <mergeCell ref="J570:K570"/>
    <mergeCell ref="H465:I465"/>
    <mergeCell ref="E366:E367"/>
    <mergeCell ref="F571:G571"/>
    <mergeCell ref="J415:K415"/>
    <mergeCell ref="F313:G313"/>
    <mergeCell ref="J464:K464"/>
    <mergeCell ref="J310:K310"/>
    <mergeCell ref="E574:E575"/>
    <mergeCell ref="C366:D366"/>
    <mergeCell ref="F415:G415"/>
    <mergeCell ref="C600:D600"/>
    <mergeCell ref="C518:D518"/>
    <mergeCell ref="C519:D519"/>
    <mergeCell ref="F204:G204"/>
    <mergeCell ref="H204:I204"/>
    <mergeCell ref="F361:G361"/>
    <mergeCell ref="C649:D649"/>
    <mergeCell ref="F574:G574"/>
    <mergeCell ref="C360:D360"/>
    <mergeCell ref="H255:I255"/>
    <mergeCell ref="H412:I412"/>
    <mergeCell ref="H568:I568"/>
    <mergeCell ref="H570:I570"/>
    <mergeCell ref="H307:I307"/>
    <mergeCell ref="H308:I308"/>
    <mergeCell ref="C257:D257"/>
    <mergeCell ref="F362:G362"/>
    <mergeCell ref="F360:G360"/>
    <mergeCell ref="H599:I599"/>
    <mergeCell ref="E602:E603"/>
    <mergeCell ref="H522:I522"/>
    <mergeCell ref="C602:D602"/>
    <mergeCell ref="C100:D100"/>
    <mergeCell ref="F255:G255"/>
    <mergeCell ref="H102:I102"/>
    <mergeCell ref="F645:G645"/>
    <mergeCell ref="C102:D102"/>
    <mergeCell ref="C414:D414"/>
    <mergeCell ref="C648:D648"/>
    <mergeCell ref="C151:D151"/>
    <mergeCell ref="F102:G102"/>
    <mergeCell ref="H519:I519"/>
    <mergeCell ref="F602:G602"/>
    <mergeCell ref="H310:I310"/>
    <mergeCell ref="H415:I415"/>
    <mergeCell ref="C209:D209"/>
    <mergeCell ref="C466:D466"/>
    <mergeCell ref="C418:D418"/>
    <mergeCell ref="C311:D311"/>
    <mergeCell ref="F464:G464"/>
    <mergeCell ref="H464:I464"/>
    <mergeCell ref="F308:G308"/>
    <mergeCell ref="H261:I261"/>
    <mergeCell ref="F418:G418"/>
    <mergeCell ref="F309:G309"/>
    <mergeCell ref="H413:I413"/>
    <mergeCell ref="B1:B2"/>
    <mergeCell ref="C517:D517"/>
    <mergeCell ref="B209:B210"/>
    <mergeCell ref="F648:G648"/>
    <mergeCell ref="F647:G647"/>
    <mergeCell ref="F1:G1"/>
    <mergeCell ref="C152:D152"/>
    <mergeCell ref="F203:G203"/>
    <mergeCell ref="F152:G152"/>
    <mergeCell ref="E209:E210"/>
    <mergeCell ref="C256:D256"/>
    <mergeCell ref="C310:D310"/>
    <mergeCell ref="C415:D415"/>
    <mergeCell ref="C103:D103"/>
    <mergeCell ref="C364:D364"/>
    <mergeCell ref="B574:B575"/>
    <mergeCell ref="C259:D259"/>
    <mergeCell ref="F53:G53"/>
    <mergeCell ref="F599:G599"/>
    <mergeCell ref="F519:G519"/>
    <mergeCell ref="F48:G48"/>
    <mergeCell ref="C308:D308"/>
    <mergeCell ref="C465:D465"/>
    <mergeCell ref="C49:D49"/>
    <mergeCell ref="A1:A2"/>
    <mergeCell ref="H414:I414"/>
    <mergeCell ref="C568:D568"/>
    <mergeCell ref="E522:E523"/>
    <mergeCell ref="C467:D467"/>
    <mergeCell ref="C569:D569"/>
    <mergeCell ref="C1:D1"/>
    <mergeCell ref="A209:A210"/>
    <mergeCell ref="F465:G465"/>
    <mergeCell ref="E157:E158"/>
    <mergeCell ref="F101:G101"/>
    <mergeCell ref="H101:I101"/>
    <mergeCell ref="H362:I362"/>
    <mergeCell ref="H256:I256"/>
    <mergeCell ref="A470:A471"/>
    <mergeCell ref="A313:A314"/>
    <mergeCell ref="H100:I100"/>
    <mergeCell ref="H516:I516"/>
    <mergeCell ref="C520:D520"/>
    <mergeCell ref="H366:I366"/>
    <mergeCell ref="C307:D307"/>
    <mergeCell ref="F257:G257"/>
    <mergeCell ref="F206:G206"/>
    <mergeCell ref="C105:D105"/>
    <mergeCell ref="C468:D468"/>
    <mergeCell ref="J518:K518"/>
    <mergeCell ref="F516:G516"/>
    <mergeCell ref="J256:K256"/>
    <mergeCell ref="A418:A419"/>
    <mergeCell ref="J516:K516"/>
    <mergeCell ref="F157:G157"/>
    <mergeCell ref="H157:I157"/>
    <mergeCell ref="F570:G570"/>
    <mergeCell ref="F522:G522"/>
    <mergeCell ref="B470:B471"/>
    <mergeCell ref="H363:I363"/>
    <mergeCell ref="C313:D313"/>
    <mergeCell ref="H203:I203"/>
    <mergeCell ref="C207:D207"/>
    <mergeCell ref="J203:K203"/>
    <mergeCell ref="F256:G256"/>
    <mergeCell ref="H467:I467"/>
    <mergeCell ref="C261:D261"/>
    <mergeCell ref="C255:D255"/>
    <mergeCell ref="C412:D412"/>
    <mergeCell ref="J470:K470"/>
    <mergeCell ref="H470:I470"/>
    <mergeCell ref="B366:B367"/>
    <mergeCell ref="J102:K102"/>
    <mergeCell ref="J466:K466"/>
    <mergeCell ref="A522:A523"/>
    <mergeCell ref="B522:B523"/>
    <mergeCell ref="H418:I418"/>
    <mergeCell ref="C361:D361"/>
    <mergeCell ref="C363:D363"/>
    <mergeCell ref="J413:K413"/>
    <mergeCell ref="H257:I257"/>
    <mergeCell ref="J257:K257"/>
    <mergeCell ref="C413:D413"/>
    <mergeCell ref="E418:E419"/>
    <mergeCell ref="C464:D464"/>
    <mergeCell ref="J519:K519"/>
    <mergeCell ref="C416:D416"/>
    <mergeCell ref="F307:G307"/>
    <mergeCell ref="F412:G412"/>
    <mergeCell ref="H152:I152"/>
    <mergeCell ref="J152:K152"/>
    <mergeCell ref="B157:B158"/>
    <mergeCell ref="H361:I361"/>
    <mergeCell ref="H154:I154"/>
    <mergeCell ref="J154:K154"/>
    <mergeCell ref="F363:G363"/>
    <mergeCell ref="H647:I647"/>
    <mergeCell ref="A53:A54"/>
    <mergeCell ref="F153:G153"/>
    <mergeCell ref="F258:G258"/>
    <mergeCell ref="C572:D572"/>
    <mergeCell ref="J100:K100"/>
    <mergeCell ref="J204:K204"/>
    <mergeCell ref="H209:I209"/>
    <mergeCell ref="J209:K209"/>
    <mergeCell ref="H206:I206"/>
    <mergeCell ref="J101:K101"/>
    <mergeCell ref="J206:K206"/>
    <mergeCell ref="J363:K363"/>
    <mergeCell ref="C362:D362"/>
    <mergeCell ref="B53:B54"/>
    <mergeCell ref="C258:D258"/>
    <mergeCell ref="B418:B419"/>
    <mergeCell ref="J465:K465"/>
    <mergeCell ref="B261:B262"/>
    <mergeCell ref="H360:I360"/>
    <mergeCell ref="H313:I313"/>
    <mergeCell ref="J313:K313"/>
    <mergeCell ref="J307:K307"/>
    <mergeCell ref="A261:A262"/>
  </mergeCells>
  <conditionalFormatting sqref="C657:J659">
    <cfRule type="cellIs" dxfId="7" priority="1" operator="lessThan">
      <formula>0</formula>
    </cfRule>
    <cfRule type="cellIs" dxfId="6" priority="2" operator="greaterThan">
      <formula>0</formula>
    </cfRule>
  </conditionalFormatting>
  <conditionalFormatting sqref="C662:J664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L1:L1048576 N1:N1048576">
    <cfRule type="cellIs" dxfId="3" priority="9" operator="lessThan">
      <formula>0</formula>
    </cfRule>
    <cfRule type="cellIs" dxfId="2" priority="10" operator="greaterThan">
      <formula>0</formula>
    </cfRule>
    <cfRule type="cellIs" dxfId="1" priority="11" operator="lessThan">
      <formula>0</formula>
    </cfRule>
    <cfRule type="cellIs" dxfId="0" priority="12" operator="greaterThan">
      <formula>0</formula>
    </cfRule>
  </conditionalFormatting>
  <pageMargins left="0.7" right="0.7" top="0.75" bottom="0.75" header="0.3" footer="0.3"/>
  <ignoredErrors>
    <ignoredError sqref="C648:K648 D646 D647 G647 I647 K647" evalError="1"/>
    <ignoredError sqref="I7 G2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2015-06-05T18:19:34Z</dcterms:created>
  <dcterms:modified xsi:type="dcterms:W3CDTF">2026-10-06T14:09:19Z</dcterms:modified>
</cp:coreProperties>
</file>