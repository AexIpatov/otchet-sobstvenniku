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Отчет для собственника\templates\"/>
    </mc:Choice>
  </mc:AlternateContent>
  <xr:revisionPtr revIDLastSave="0" documentId="13_ncr:1_{378C6145-8375-4644-89C6-01D97FED2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H24" i="1"/>
  <c r="F24" i="1"/>
  <c r="E24" i="1"/>
  <c r="C24" i="1"/>
  <c r="J122" i="1"/>
  <c r="H122" i="1"/>
  <c r="F122" i="1"/>
  <c r="E122" i="1"/>
  <c r="C122" i="1"/>
  <c r="J73" i="1"/>
  <c r="H73" i="1"/>
  <c r="F73" i="1"/>
  <c r="L73" i="1" s="1"/>
  <c r="M73" i="1" s="1"/>
  <c r="E73" i="1"/>
  <c r="C73" i="1"/>
  <c r="N73" i="1" s="1"/>
  <c r="O73" i="1" s="1"/>
  <c r="N144" i="1"/>
  <c r="O144" i="1" s="1"/>
  <c r="L144" i="1"/>
  <c r="M144" i="1" s="1"/>
  <c r="N143" i="1"/>
  <c r="O143" i="1" s="1"/>
  <c r="L143" i="1"/>
  <c r="M143" i="1" s="1"/>
  <c r="N142" i="1"/>
  <c r="O142" i="1" s="1"/>
  <c r="L142" i="1"/>
  <c r="M142" i="1" s="1"/>
  <c r="N141" i="1"/>
  <c r="O141" i="1" s="1"/>
  <c r="L141" i="1"/>
  <c r="M141" i="1" s="1"/>
  <c r="N140" i="1"/>
  <c r="O140" i="1" s="1"/>
  <c r="L140" i="1"/>
  <c r="M140" i="1" s="1"/>
  <c r="N139" i="1"/>
  <c r="O139" i="1" s="1"/>
  <c r="L139" i="1"/>
  <c r="M139" i="1" s="1"/>
  <c r="N138" i="1"/>
  <c r="O138" i="1" s="1"/>
  <c r="L138" i="1"/>
  <c r="M138" i="1" s="1"/>
  <c r="N137" i="1"/>
  <c r="O137" i="1" s="1"/>
  <c r="L137" i="1"/>
  <c r="M137" i="1" s="1"/>
  <c r="N136" i="1"/>
  <c r="O136" i="1" s="1"/>
  <c r="L136" i="1"/>
  <c r="M136" i="1" s="1"/>
  <c r="N135" i="1"/>
  <c r="O135" i="1" s="1"/>
  <c r="L135" i="1"/>
  <c r="M135" i="1" s="1"/>
  <c r="N134" i="1"/>
  <c r="O134" i="1" s="1"/>
  <c r="L134" i="1"/>
  <c r="M134" i="1" s="1"/>
  <c r="N133" i="1"/>
  <c r="O133" i="1" s="1"/>
  <c r="L133" i="1"/>
  <c r="M133" i="1" s="1"/>
  <c r="N132" i="1"/>
  <c r="O132" i="1" s="1"/>
  <c r="L132" i="1"/>
  <c r="M132" i="1" s="1"/>
  <c r="N131" i="1"/>
  <c r="O131" i="1" s="1"/>
  <c r="L131" i="1"/>
  <c r="M131" i="1" s="1"/>
  <c r="N130" i="1"/>
  <c r="O130" i="1" s="1"/>
  <c r="L130" i="1"/>
  <c r="M130" i="1" s="1"/>
  <c r="N129" i="1"/>
  <c r="O129" i="1" s="1"/>
  <c r="L129" i="1"/>
  <c r="M129" i="1" s="1"/>
  <c r="N128" i="1"/>
  <c r="O128" i="1" s="1"/>
  <c r="L128" i="1"/>
  <c r="M128" i="1" s="1"/>
  <c r="N127" i="1"/>
  <c r="O127" i="1" s="1"/>
  <c r="L127" i="1"/>
  <c r="M127" i="1" s="1"/>
  <c r="N126" i="1"/>
  <c r="O126" i="1" s="1"/>
  <c r="L126" i="1"/>
  <c r="M126" i="1" s="1"/>
  <c r="N125" i="1"/>
  <c r="O125" i="1" s="1"/>
  <c r="L125" i="1"/>
  <c r="M125" i="1" s="1"/>
  <c r="N124" i="1"/>
  <c r="O124" i="1" s="1"/>
  <c r="L124" i="1"/>
  <c r="M124" i="1" s="1"/>
  <c r="N123" i="1"/>
  <c r="O123" i="1" s="1"/>
  <c r="L123" i="1"/>
  <c r="M123" i="1" s="1"/>
  <c r="N122" i="1"/>
  <c r="O122" i="1" s="1"/>
  <c r="L122" i="1"/>
  <c r="M122" i="1" s="1"/>
  <c r="N121" i="1"/>
  <c r="O121" i="1" s="1"/>
  <c r="L121" i="1"/>
  <c r="M121" i="1" s="1"/>
  <c r="N120" i="1"/>
  <c r="O120" i="1" s="1"/>
  <c r="L120" i="1"/>
  <c r="M120" i="1" s="1"/>
  <c r="N119" i="1"/>
  <c r="O119" i="1" s="1"/>
  <c r="L119" i="1"/>
  <c r="M119" i="1" s="1"/>
  <c r="N118" i="1"/>
  <c r="O118" i="1" s="1"/>
  <c r="L118" i="1"/>
  <c r="M118" i="1" s="1"/>
  <c r="N117" i="1"/>
  <c r="O117" i="1" s="1"/>
  <c r="L117" i="1"/>
  <c r="M117" i="1" s="1"/>
  <c r="N116" i="1"/>
  <c r="O116" i="1" s="1"/>
  <c r="L116" i="1"/>
  <c r="M116" i="1" s="1"/>
  <c r="N115" i="1"/>
  <c r="O115" i="1" s="1"/>
  <c r="L115" i="1"/>
  <c r="M115" i="1" s="1"/>
  <c r="N114" i="1"/>
  <c r="O114" i="1" s="1"/>
  <c r="L114" i="1"/>
  <c r="M114" i="1" s="1"/>
  <c r="N113" i="1"/>
  <c r="O113" i="1" s="1"/>
  <c r="L113" i="1"/>
  <c r="M113" i="1" s="1"/>
  <c r="N112" i="1"/>
  <c r="O112" i="1" s="1"/>
  <c r="L112" i="1"/>
  <c r="M112" i="1" s="1"/>
  <c r="N111" i="1"/>
  <c r="O111" i="1" s="1"/>
  <c r="L111" i="1"/>
  <c r="M111" i="1" s="1"/>
  <c r="J110" i="1"/>
  <c r="H110" i="1"/>
  <c r="F110" i="1"/>
  <c r="E110" i="1"/>
  <c r="C110" i="1"/>
  <c r="N109" i="1"/>
  <c r="O109" i="1" s="1"/>
  <c r="L109" i="1"/>
  <c r="M109" i="1" s="1"/>
  <c r="N108" i="1"/>
  <c r="O108" i="1" s="1"/>
  <c r="L108" i="1"/>
  <c r="M108" i="1" s="1"/>
  <c r="N107" i="1"/>
  <c r="O107" i="1" s="1"/>
  <c r="L107" i="1"/>
  <c r="M107" i="1" s="1"/>
  <c r="N106" i="1"/>
  <c r="O106" i="1" s="1"/>
  <c r="L106" i="1"/>
  <c r="M106" i="1" s="1"/>
  <c r="J105" i="1"/>
  <c r="H105" i="1"/>
  <c r="F105" i="1"/>
  <c r="E105" i="1"/>
  <c r="C105" i="1"/>
  <c r="N103" i="1"/>
  <c r="O103" i="1" s="1"/>
  <c r="L103" i="1"/>
  <c r="M103" i="1" s="1"/>
  <c r="N102" i="1"/>
  <c r="O102" i="1" s="1"/>
  <c r="L102" i="1"/>
  <c r="M102" i="1" s="1"/>
  <c r="J101" i="1"/>
  <c r="H101" i="1"/>
  <c r="F101" i="1"/>
  <c r="E101" i="1"/>
  <c r="C101" i="1"/>
  <c r="N95" i="1"/>
  <c r="O95" i="1" s="1"/>
  <c r="L95" i="1"/>
  <c r="M95" i="1" s="1"/>
  <c r="N94" i="1"/>
  <c r="O94" i="1" s="1"/>
  <c r="L94" i="1"/>
  <c r="M94" i="1" s="1"/>
  <c r="N93" i="1"/>
  <c r="O93" i="1" s="1"/>
  <c r="L93" i="1"/>
  <c r="M93" i="1" s="1"/>
  <c r="N92" i="1"/>
  <c r="O92" i="1" s="1"/>
  <c r="L92" i="1"/>
  <c r="M92" i="1" s="1"/>
  <c r="N91" i="1"/>
  <c r="O91" i="1" s="1"/>
  <c r="L91" i="1"/>
  <c r="M91" i="1" s="1"/>
  <c r="N90" i="1"/>
  <c r="O90" i="1" s="1"/>
  <c r="L90" i="1"/>
  <c r="M90" i="1" s="1"/>
  <c r="N89" i="1"/>
  <c r="O89" i="1" s="1"/>
  <c r="L89" i="1"/>
  <c r="M89" i="1" s="1"/>
  <c r="N88" i="1"/>
  <c r="O88" i="1" s="1"/>
  <c r="L88" i="1"/>
  <c r="M88" i="1" s="1"/>
  <c r="N87" i="1"/>
  <c r="O87" i="1" s="1"/>
  <c r="L87" i="1"/>
  <c r="M87" i="1" s="1"/>
  <c r="N86" i="1"/>
  <c r="O86" i="1" s="1"/>
  <c r="L86" i="1"/>
  <c r="M86" i="1" s="1"/>
  <c r="N85" i="1"/>
  <c r="O85" i="1" s="1"/>
  <c r="L85" i="1"/>
  <c r="M85" i="1" s="1"/>
  <c r="N84" i="1"/>
  <c r="O84" i="1" s="1"/>
  <c r="L84" i="1"/>
  <c r="M84" i="1" s="1"/>
  <c r="N83" i="1"/>
  <c r="O83" i="1" s="1"/>
  <c r="L83" i="1"/>
  <c r="M83" i="1" s="1"/>
  <c r="N82" i="1"/>
  <c r="O82" i="1" s="1"/>
  <c r="L82" i="1"/>
  <c r="M82" i="1" s="1"/>
  <c r="N81" i="1"/>
  <c r="O81" i="1" s="1"/>
  <c r="L81" i="1"/>
  <c r="M81" i="1" s="1"/>
  <c r="N80" i="1"/>
  <c r="O80" i="1" s="1"/>
  <c r="L80" i="1"/>
  <c r="M80" i="1" s="1"/>
  <c r="N79" i="1"/>
  <c r="O79" i="1" s="1"/>
  <c r="L79" i="1"/>
  <c r="M79" i="1" s="1"/>
  <c r="N78" i="1"/>
  <c r="O78" i="1" s="1"/>
  <c r="L78" i="1"/>
  <c r="M78" i="1" s="1"/>
  <c r="N77" i="1"/>
  <c r="O77" i="1" s="1"/>
  <c r="L77" i="1"/>
  <c r="M77" i="1" s="1"/>
  <c r="N76" i="1"/>
  <c r="O76" i="1" s="1"/>
  <c r="L76" i="1"/>
  <c r="M76" i="1" s="1"/>
  <c r="N75" i="1"/>
  <c r="O75" i="1" s="1"/>
  <c r="L75" i="1"/>
  <c r="M75" i="1" s="1"/>
  <c r="N74" i="1"/>
  <c r="O74" i="1" s="1"/>
  <c r="L74" i="1"/>
  <c r="M74" i="1" s="1"/>
  <c r="N72" i="1"/>
  <c r="O72" i="1" s="1"/>
  <c r="L72" i="1"/>
  <c r="M72" i="1" s="1"/>
  <c r="N71" i="1"/>
  <c r="O71" i="1" s="1"/>
  <c r="L71" i="1"/>
  <c r="M71" i="1" s="1"/>
  <c r="N70" i="1"/>
  <c r="O70" i="1" s="1"/>
  <c r="L70" i="1"/>
  <c r="M70" i="1" s="1"/>
  <c r="N69" i="1"/>
  <c r="O69" i="1" s="1"/>
  <c r="L69" i="1"/>
  <c r="M69" i="1" s="1"/>
  <c r="N68" i="1"/>
  <c r="O68" i="1" s="1"/>
  <c r="L68" i="1"/>
  <c r="M68" i="1" s="1"/>
  <c r="N67" i="1"/>
  <c r="O67" i="1" s="1"/>
  <c r="L67" i="1"/>
  <c r="M67" i="1" s="1"/>
  <c r="N66" i="1"/>
  <c r="O66" i="1" s="1"/>
  <c r="L66" i="1"/>
  <c r="M66" i="1" s="1"/>
  <c r="N65" i="1"/>
  <c r="O65" i="1" s="1"/>
  <c r="L65" i="1"/>
  <c r="M65" i="1" s="1"/>
  <c r="N64" i="1"/>
  <c r="O64" i="1" s="1"/>
  <c r="L64" i="1"/>
  <c r="M64" i="1" s="1"/>
  <c r="N63" i="1"/>
  <c r="O63" i="1" s="1"/>
  <c r="L63" i="1"/>
  <c r="M63" i="1" s="1"/>
  <c r="N62" i="1"/>
  <c r="O62" i="1" s="1"/>
  <c r="L62" i="1"/>
  <c r="M62" i="1" s="1"/>
  <c r="J61" i="1"/>
  <c r="H61" i="1"/>
  <c r="F61" i="1"/>
  <c r="E61" i="1"/>
  <c r="C61" i="1"/>
  <c r="N60" i="1"/>
  <c r="O60" i="1" s="1"/>
  <c r="L60" i="1"/>
  <c r="M60" i="1" s="1"/>
  <c r="N59" i="1"/>
  <c r="O59" i="1" s="1"/>
  <c r="L59" i="1"/>
  <c r="M59" i="1" s="1"/>
  <c r="N58" i="1"/>
  <c r="O58" i="1" s="1"/>
  <c r="L58" i="1"/>
  <c r="M58" i="1" s="1"/>
  <c r="N57" i="1"/>
  <c r="O57" i="1" s="1"/>
  <c r="L57" i="1"/>
  <c r="M57" i="1" s="1"/>
  <c r="J56" i="1"/>
  <c r="H56" i="1"/>
  <c r="F56" i="1"/>
  <c r="E56" i="1"/>
  <c r="C56" i="1"/>
  <c r="N54" i="1"/>
  <c r="O54" i="1" s="1"/>
  <c r="L54" i="1"/>
  <c r="M54" i="1" s="1"/>
  <c r="N53" i="1"/>
  <c r="O53" i="1" s="1"/>
  <c r="L53" i="1"/>
  <c r="M53" i="1" s="1"/>
  <c r="J52" i="1"/>
  <c r="H52" i="1"/>
  <c r="F52" i="1"/>
  <c r="E52" i="1"/>
  <c r="C52" i="1"/>
  <c r="J55" i="1" l="1"/>
  <c r="K93" i="1" s="1"/>
  <c r="N101" i="1"/>
  <c r="O101" i="1" s="1"/>
  <c r="C55" i="1"/>
  <c r="D93" i="1" s="1"/>
  <c r="N61" i="1"/>
  <c r="O61" i="1" s="1"/>
  <c r="J96" i="1"/>
  <c r="J97" i="1" s="1"/>
  <c r="L101" i="1"/>
  <c r="M101" i="1" s="1"/>
  <c r="K58" i="1"/>
  <c r="K59" i="1"/>
  <c r="N52" i="1"/>
  <c r="O52" i="1" s="1"/>
  <c r="K56" i="1"/>
  <c r="K74" i="1"/>
  <c r="N105" i="1"/>
  <c r="O105" i="1" s="1"/>
  <c r="K90" i="1"/>
  <c r="K76" i="1"/>
  <c r="D75" i="1"/>
  <c r="K77" i="1"/>
  <c r="K78" i="1"/>
  <c r="K94" i="1"/>
  <c r="D61" i="1"/>
  <c r="D77" i="1"/>
  <c r="K63" i="1"/>
  <c r="K79" i="1"/>
  <c r="K95" i="1"/>
  <c r="D62" i="1"/>
  <c r="K64" i="1"/>
  <c r="K80" i="1"/>
  <c r="K75" i="1"/>
  <c r="N110" i="1"/>
  <c r="O110" i="1" s="1"/>
  <c r="D79" i="1"/>
  <c r="D95" i="1"/>
  <c r="K65" i="1"/>
  <c r="K81" i="1"/>
  <c r="F55" i="1"/>
  <c r="G73" i="1" s="1"/>
  <c r="E104" i="1"/>
  <c r="E145" i="1" s="1"/>
  <c r="E146" i="1" s="1"/>
  <c r="J104" i="1"/>
  <c r="K122" i="1" s="1"/>
  <c r="D64" i="1"/>
  <c r="K66" i="1"/>
  <c r="K82" i="1"/>
  <c r="D81" i="1"/>
  <c r="K67" i="1"/>
  <c r="D90" i="1"/>
  <c r="K92" i="1"/>
  <c r="L52" i="1"/>
  <c r="M52" i="1" s="1"/>
  <c r="K68" i="1"/>
  <c r="K84" i="1"/>
  <c r="K60" i="1"/>
  <c r="K69" i="1"/>
  <c r="K85" i="1"/>
  <c r="K70" i="1"/>
  <c r="K86" i="1"/>
  <c r="I105" i="1"/>
  <c r="K91" i="1"/>
  <c r="K87" i="1"/>
  <c r="K72" i="1"/>
  <c r="K88" i="1"/>
  <c r="D71" i="1"/>
  <c r="D87" i="1"/>
  <c r="K57" i="1"/>
  <c r="K89" i="1"/>
  <c r="E55" i="1"/>
  <c r="E96" i="1" s="1"/>
  <c r="E97" i="1" s="1"/>
  <c r="C104" i="1"/>
  <c r="D122" i="1" s="1"/>
  <c r="L110" i="1"/>
  <c r="M110" i="1" s="1"/>
  <c r="F104" i="1"/>
  <c r="G110" i="1" s="1"/>
  <c r="L105" i="1"/>
  <c r="M105" i="1" s="1"/>
  <c r="H104" i="1"/>
  <c r="L61" i="1"/>
  <c r="M61" i="1" s="1"/>
  <c r="L56" i="1"/>
  <c r="M56" i="1" s="1"/>
  <c r="H55" i="1"/>
  <c r="I61" i="1" s="1"/>
  <c r="N56" i="1"/>
  <c r="O56" i="1" s="1"/>
  <c r="N100" i="1"/>
  <c r="L100" i="1"/>
  <c r="N51" i="1"/>
  <c r="L51" i="1"/>
  <c r="N46" i="1"/>
  <c r="O46" i="1" s="1"/>
  <c r="L46" i="1"/>
  <c r="M46" i="1" s="1"/>
  <c r="N45" i="1"/>
  <c r="O45" i="1" s="1"/>
  <c r="L45" i="1"/>
  <c r="M45" i="1" s="1"/>
  <c r="N44" i="1"/>
  <c r="O44" i="1" s="1"/>
  <c r="L44" i="1"/>
  <c r="M44" i="1" s="1"/>
  <c r="N43" i="1"/>
  <c r="O43" i="1" s="1"/>
  <c r="L43" i="1"/>
  <c r="M43" i="1" s="1"/>
  <c r="N42" i="1"/>
  <c r="O42" i="1" s="1"/>
  <c r="L42" i="1"/>
  <c r="M42" i="1" s="1"/>
  <c r="N41" i="1"/>
  <c r="O41" i="1" s="1"/>
  <c r="L41" i="1"/>
  <c r="M41" i="1" s="1"/>
  <c r="N40" i="1"/>
  <c r="O40" i="1" s="1"/>
  <c r="L40" i="1"/>
  <c r="M40" i="1" s="1"/>
  <c r="N39" i="1"/>
  <c r="O39" i="1" s="1"/>
  <c r="L39" i="1"/>
  <c r="M39" i="1" s="1"/>
  <c r="N38" i="1"/>
  <c r="O38" i="1" s="1"/>
  <c r="L38" i="1"/>
  <c r="M38" i="1" s="1"/>
  <c r="N37" i="1"/>
  <c r="O37" i="1" s="1"/>
  <c r="L37" i="1"/>
  <c r="M37" i="1" s="1"/>
  <c r="N36" i="1"/>
  <c r="O36" i="1" s="1"/>
  <c r="L36" i="1"/>
  <c r="M36" i="1" s="1"/>
  <c r="N35" i="1"/>
  <c r="O35" i="1" s="1"/>
  <c r="L35" i="1"/>
  <c r="M35" i="1" s="1"/>
  <c r="N34" i="1"/>
  <c r="O34" i="1" s="1"/>
  <c r="L34" i="1"/>
  <c r="M34" i="1" s="1"/>
  <c r="N33" i="1"/>
  <c r="O33" i="1" s="1"/>
  <c r="L33" i="1"/>
  <c r="M33" i="1" s="1"/>
  <c r="N32" i="1"/>
  <c r="O32" i="1" s="1"/>
  <c r="L32" i="1"/>
  <c r="M32" i="1" s="1"/>
  <c r="N31" i="1"/>
  <c r="O31" i="1" s="1"/>
  <c r="L31" i="1"/>
  <c r="M31" i="1" s="1"/>
  <c r="N30" i="1"/>
  <c r="O30" i="1" s="1"/>
  <c r="L30" i="1"/>
  <c r="M30" i="1" s="1"/>
  <c r="N29" i="1"/>
  <c r="O29" i="1" s="1"/>
  <c r="L29" i="1"/>
  <c r="M29" i="1" s="1"/>
  <c r="N28" i="1"/>
  <c r="O28" i="1" s="1"/>
  <c r="L28" i="1"/>
  <c r="M28" i="1" s="1"/>
  <c r="N27" i="1"/>
  <c r="O27" i="1" s="1"/>
  <c r="L27" i="1"/>
  <c r="M27" i="1" s="1"/>
  <c r="N26" i="1"/>
  <c r="O26" i="1" s="1"/>
  <c r="L26" i="1"/>
  <c r="M26" i="1" s="1"/>
  <c r="N25" i="1"/>
  <c r="O25" i="1" s="1"/>
  <c r="L25" i="1"/>
  <c r="M25" i="1" s="1"/>
  <c r="N24" i="1"/>
  <c r="O24" i="1" s="1"/>
  <c r="L24" i="1"/>
  <c r="M24" i="1" s="1"/>
  <c r="N23" i="1"/>
  <c r="O23" i="1" s="1"/>
  <c r="L23" i="1"/>
  <c r="M23" i="1" s="1"/>
  <c r="N22" i="1"/>
  <c r="O22" i="1" s="1"/>
  <c r="L22" i="1"/>
  <c r="M22" i="1" s="1"/>
  <c r="N21" i="1"/>
  <c r="O21" i="1" s="1"/>
  <c r="L21" i="1"/>
  <c r="M21" i="1" s="1"/>
  <c r="N20" i="1"/>
  <c r="O20" i="1" s="1"/>
  <c r="L20" i="1"/>
  <c r="M20" i="1" s="1"/>
  <c r="N19" i="1"/>
  <c r="O19" i="1" s="1"/>
  <c r="L19" i="1"/>
  <c r="M19" i="1" s="1"/>
  <c r="N18" i="1"/>
  <c r="O18" i="1" s="1"/>
  <c r="L18" i="1"/>
  <c r="M18" i="1" s="1"/>
  <c r="N17" i="1"/>
  <c r="O17" i="1" s="1"/>
  <c r="L17" i="1"/>
  <c r="M17" i="1" s="1"/>
  <c r="N16" i="1"/>
  <c r="O16" i="1" s="1"/>
  <c r="L16" i="1"/>
  <c r="M16" i="1" s="1"/>
  <c r="N15" i="1"/>
  <c r="O15" i="1" s="1"/>
  <c r="L15" i="1"/>
  <c r="M15" i="1" s="1"/>
  <c r="N14" i="1"/>
  <c r="O14" i="1" s="1"/>
  <c r="L14" i="1"/>
  <c r="M14" i="1" s="1"/>
  <c r="N13" i="1"/>
  <c r="O13" i="1" s="1"/>
  <c r="L13" i="1"/>
  <c r="M13" i="1" s="1"/>
  <c r="N11" i="1"/>
  <c r="O11" i="1" s="1"/>
  <c r="L11" i="1"/>
  <c r="M11" i="1" s="1"/>
  <c r="N10" i="1"/>
  <c r="O10" i="1" s="1"/>
  <c r="L10" i="1"/>
  <c r="M10" i="1" s="1"/>
  <c r="N9" i="1"/>
  <c r="O9" i="1" s="1"/>
  <c r="L9" i="1"/>
  <c r="M9" i="1" s="1"/>
  <c r="N8" i="1"/>
  <c r="O8" i="1" s="1"/>
  <c r="L8" i="1"/>
  <c r="M8" i="1" s="1"/>
  <c r="N5" i="1"/>
  <c r="O5" i="1" s="1"/>
  <c r="L5" i="1"/>
  <c r="M5" i="1" s="1"/>
  <c r="N4" i="1"/>
  <c r="O4" i="1" s="1"/>
  <c r="L4" i="1"/>
  <c r="M4" i="1" s="1"/>
  <c r="N2" i="1"/>
  <c r="L2" i="1"/>
  <c r="J12" i="1"/>
  <c r="H12" i="1"/>
  <c r="F12" i="1"/>
  <c r="E12" i="1"/>
  <c r="C12" i="1"/>
  <c r="J7" i="1"/>
  <c r="H7" i="1"/>
  <c r="F7" i="1"/>
  <c r="E7" i="1"/>
  <c r="C7" i="1"/>
  <c r="C6" i="1" s="1"/>
  <c r="J3" i="1"/>
  <c r="H3" i="1"/>
  <c r="F3" i="1"/>
  <c r="E3" i="1"/>
  <c r="C3" i="1"/>
  <c r="D84" i="1" l="1"/>
  <c r="D68" i="1"/>
  <c r="L7" i="1"/>
  <c r="M7" i="1" s="1"/>
  <c r="K110" i="1"/>
  <c r="D76" i="1"/>
  <c r="K62" i="1"/>
  <c r="K73" i="1"/>
  <c r="N7" i="1"/>
  <c r="O7" i="1" s="1"/>
  <c r="D92" i="1"/>
  <c r="K61" i="1"/>
  <c r="K71" i="1"/>
  <c r="K83" i="1"/>
  <c r="D63" i="1"/>
  <c r="D59" i="1"/>
  <c r="D65" i="1"/>
  <c r="D60" i="1"/>
  <c r="D86" i="1"/>
  <c r="D83" i="1"/>
  <c r="D70" i="1"/>
  <c r="D67" i="1"/>
  <c r="D94" i="1"/>
  <c r="D74" i="1"/>
  <c r="D80" i="1"/>
  <c r="D78" i="1"/>
  <c r="D91" i="1"/>
  <c r="D85" i="1"/>
  <c r="D82" i="1"/>
  <c r="D73" i="1"/>
  <c r="D69" i="1"/>
  <c r="D66" i="1"/>
  <c r="D58" i="1"/>
  <c r="D56" i="1"/>
  <c r="G122" i="1"/>
  <c r="L3" i="1"/>
  <c r="M3" i="1" s="1"/>
  <c r="C96" i="1"/>
  <c r="C97" i="1" s="1"/>
  <c r="D89" i="1"/>
  <c r="D88" i="1"/>
  <c r="D72" i="1"/>
  <c r="D57" i="1"/>
  <c r="D105" i="1"/>
  <c r="F96" i="1"/>
  <c r="F97" i="1" s="1"/>
  <c r="G93" i="1"/>
  <c r="G77" i="1"/>
  <c r="G92" i="1"/>
  <c r="G76" i="1"/>
  <c r="G60" i="1"/>
  <c r="G79" i="1"/>
  <c r="G91" i="1"/>
  <c r="G75" i="1"/>
  <c r="G59" i="1"/>
  <c r="G90" i="1"/>
  <c r="G74" i="1"/>
  <c r="G58" i="1"/>
  <c r="G95" i="1"/>
  <c r="G89" i="1"/>
  <c r="G57" i="1"/>
  <c r="G88" i="1"/>
  <c r="G72" i="1"/>
  <c r="G87" i="1"/>
  <c r="G71" i="1"/>
  <c r="G62" i="1"/>
  <c r="G86" i="1"/>
  <c r="G70" i="1"/>
  <c r="G94" i="1"/>
  <c r="G85" i="1"/>
  <c r="G69" i="1"/>
  <c r="G64" i="1"/>
  <c r="G63" i="1"/>
  <c r="G78" i="1"/>
  <c r="G84" i="1"/>
  <c r="G68" i="1"/>
  <c r="G83" i="1"/>
  <c r="G67" i="1"/>
  <c r="G82" i="1"/>
  <c r="G66" i="1"/>
  <c r="G81" i="1"/>
  <c r="G65" i="1"/>
  <c r="G80" i="1"/>
  <c r="D110" i="1"/>
  <c r="C145" i="1"/>
  <c r="C146" i="1" s="1"/>
  <c r="D144" i="1"/>
  <c r="D128" i="1"/>
  <c r="D112" i="1"/>
  <c r="D129" i="1"/>
  <c r="D143" i="1"/>
  <c r="D127" i="1"/>
  <c r="D111" i="1"/>
  <c r="D142" i="1"/>
  <c r="D126" i="1"/>
  <c r="D141" i="1"/>
  <c r="D125" i="1"/>
  <c r="D109" i="1"/>
  <c r="D140" i="1"/>
  <c r="D124" i="1"/>
  <c r="D108" i="1"/>
  <c r="D139" i="1"/>
  <c r="D123" i="1"/>
  <c r="D107" i="1"/>
  <c r="D138" i="1"/>
  <c r="D106" i="1"/>
  <c r="D115" i="1"/>
  <c r="D137" i="1"/>
  <c r="D121" i="1"/>
  <c r="D136" i="1"/>
  <c r="D120" i="1"/>
  <c r="D135" i="1"/>
  <c r="D119" i="1"/>
  <c r="D131" i="1"/>
  <c r="D130" i="1"/>
  <c r="D134" i="1"/>
  <c r="D118" i="1"/>
  <c r="D133" i="1"/>
  <c r="D117" i="1"/>
  <c r="D114" i="1"/>
  <c r="D113" i="1"/>
  <c r="D132" i="1"/>
  <c r="D116" i="1"/>
  <c r="I83" i="1"/>
  <c r="I67" i="1"/>
  <c r="I82" i="1"/>
  <c r="I66" i="1"/>
  <c r="I68" i="1"/>
  <c r="I81" i="1"/>
  <c r="I65" i="1"/>
  <c r="I80" i="1"/>
  <c r="I64" i="1"/>
  <c r="I95" i="1"/>
  <c r="I79" i="1"/>
  <c r="I63" i="1"/>
  <c r="I94" i="1"/>
  <c r="I78" i="1"/>
  <c r="I62" i="1"/>
  <c r="I86" i="1"/>
  <c r="I93" i="1"/>
  <c r="I77" i="1"/>
  <c r="I92" i="1"/>
  <c r="I76" i="1"/>
  <c r="I60" i="1"/>
  <c r="I85" i="1"/>
  <c r="I91" i="1"/>
  <c r="I75" i="1"/>
  <c r="I59" i="1"/>
  <c r="I90" i="1"/>
  <c r="I74" i="1"/>
  <c r="I58" i="1"/>
  <c r="I89" i="1"/>
  <c r="I73" i="1"/>
  <c r="I57" i="1"/>
  <c r="I88" i="1"/>
  <c r="I72" i="1"/>
  <c r="I87" i="1"/>
  <c r="I71" i="1"/>
  <c r="I70" i="1"/>
  <c r="I69" i="1"/>
  <c r="I84" i="1"/>
  <c r="I56" i="1"/>
  <c r="G61" i="1"/>
  <c r="L12" i="1"/>
  <c r="M12" i="1" s="1"/>
  <c r="I140" i="1"/>
  <c r="I124" i="1"/>
  <c r="I108" i="1"/>
  <c r="I139" i="1"/>
  <c r="I123" i="1"/>
  <c r="I107" i="1"/>
  <c r="I111" i="1"/>
  <c r="I126" i="1"/>
  <c r="I138" i="1"/>
  <c r="I122" i="1"/>
  <c r="I106" i="1"/>
  <c r="I137" i="1"/>
  <c r="I121" i="1"/>
  <c r="I143" i="1"/>
  <c r="I136" i="1"/>
  <c r="I120" i="1"/>
  <c r="I135" i="1"/>
  <c r="I119" i="1"/>
  <c r="I142" i="1"/>
  <c r="I125" i="1"/>
  <c r="I134" i="1"/>
  <c r="I118" i="1"/>
  <c r="I133" i="1"/>
  <c r="I117" i="1"/>
  <c r="I110" i="1"/>
  <c r="I109" i="1"/>
  <c r="I132" i="1"/>
  <c r="I116" i="1"/>
  <c r="I131" i="1"/>
  <c r="I115" i="1"/>
  <c r="I130" i="1"/>
  <c r="I114" i="1"/>
  <c r="I129" i="1"/>
  <c r="I113" i="1"/>
  <c r="I127" i="1"/>
  <c r="I144" i="1"/>
  <c r="I128" i="1"/>
  <c r="I112" i="1"/>
  <c r="I141" i="1"/>
  <c r="N12" i="1"/>
  <c r="O12" i="1" s="1"/>
  <c r="G56" i="1"/>
  <c r="F145" i="1"/>
  <c r="F146" i="1" s="1"/>
  <c r="G134" i="1"/>
  <c r="G118" i="1"/>
  <c r="G120" i="1"/>
  <c r="G133" i="1"/>
  <c r="G117" i="1"/>
  <c r="G132" i="1"/>
  <c r="G116" i="1"/>
  <c r="G121" i="1"/>
  <c r="G131" i="1"/>
  <c r="G115" i="1"/>
  <c r="G130" i="1"/>
  <c r="G114" i="1"/>
  <c r="G136" i="1"/>
  <c r="G119" i="1"/>
  <c r="G129" i="1"/>
  <c r="G113" i="1"/>
  <c r="G144" i="1"/>
  <c r="G128" i="1"/>
  <c r="G112" i="1"/>
  <c r="G143" i="1"/>
  <c r="G127" i="1"/>
  <c r="G111" i="1"/>
  <c r="G142" i="1"/>
  <c r="G126" i="1"/>
  <c r="G137" i="1"/>
  <c r="G135" i="1"/>
  <c r="G141" i="1"/>
  <c r="G125" i="1"/>
  <c r="G109" i="1"/>
  <c r="G140" i="1"/>
  <c r="G124" i="1"/>
  <c r="G108" i="1"/>
  <c r="G105" i="1"/>
  <c r="G139" i="1"/>
  <c r="G123" i="1"/>
  <c r="G107" i="1"/>
  <c r="G138" i="1"/>
  <c r="G106" i="1"/>
  <c r="J145" i="1"/>
  <c r="J146" i="1" s="1"/>
  <c r="K130" i="1"/>
  <c r="K114" i="1"/>
  <c r="K117" i="1"/>
  <c r="K129" i="1"/>
  <c r="K113" i="1"/>
  <c r="K115" i="1"/>
  <c r="K144" i="1"/>
  <c r="K128" i="1"/>
  <c r="K112" i="1"/>
  <c r="K143" i="1"/>
  <c r="K127" i="1"/>
  <c r="K111" i="1"/>
  <c r="K142" i="1"/>
  <c r="K126" i="1"/>
  <c r="K141" i="1"/>
  <c r="K125" i="1"/>
  <c r="K109" i="1"/>
  <c r="K140" i="1"/>
  <c r="K124" i="1"/>
  <c r="K108" i="1"/>
  <c r="K131" i="1"/>
  <c r="K139" i="1"/>
  <c r="K123" i="1"/>
  <c r="K107" i="1"/>
  <c r="K133" i="1"/>
  <c r="K138" i="1"/>
  <c r="K106" i="1"/>
  <c r="K132" i="1"/>
  <c r="K137" i="1"/>
  <c r="K121" i="1"/>
  <c r="K136" i="1"/>
  <c r="K120" i="1"/>
  <c r="K135" i="1"/>
  <c r="K119" i="1"/>
  <c r="K134" i="1"/>
  <c r="K118" i="1"/>
  <c r="K116" i="1"/>
  <c r="K105" i="1"/>
  <c r="N3" i="1"/>
  <c r="O3" i="1" s="1"/>
  <c r="C47" i="1"/>
  <c r="D40" i="1"/>
  <c r="D24" i="1"/>
  <c r="D8" i="1"/>
  <c r="D35" i="1"/>
  <c r="D39" i="1"/>
  <c r="D23" i="1"/>
  <c r="D7" i="1"/>
  <c r="D22" i="1"/>
  <c r="D21" i="1"/>
  <c r="D36" i="1"/>
  <c r="D19" i="1"/>
  <c r="D38" i="1"/>
  <c r="D37" i="1"/>
  <c r="D20" i="1"/>
  <c r="D32" i="1"/>
  <c r="D16" i="1"/>
  <c r="D30" i="1"/>
  <c r="D45" i="1"/>
  <c r="D12" i="1"/>
  <c r="D43" i="1"/>
  <c r="D31" i="1"/>
  <c r="D15" i="1"/>
  <c r="D46" i="1"/>
  <c r="D14" i="1"/>
  <c r="D29" i="1"/>
  <c r="D44" i="1"/>
  <c r="D27" i="1"/>
  <c r="D13" i="1"/>
  <c r="D28" i="1"/>
  <c r="D11" i="1"/>
  <c r="D41" i="1"/>
  <c r="D25" i="1"/>
  <c r="D17" i="1"/>
  <c r="D10" i="1"/>
  <c r="D9" i="1"/>
  <c r="D34" i="1"/>
  <c r="D33" i="1"/>
  <c r="D18" i="1"/>
  <c r="D42" i="1"/>
  <c r="D26" i="1"/>
  <c r="N6" i="1"/>
  <c r="O6" i="1" s="1"/>
  <c r="L104" i="1"/>
  <c r="M104" i="1" s="1"/>
  <c r="H145" i="1"/>
  <c r="N104" i="1"/>
  <c r="O104" i="1" s="1"/>
  <c r="L55" i="1"/>
  <c r="M55" i="1" s="1"/>
  <c r="N55" i="1"/>
  <c r="O55" i="1" s="1"/>
  <c r="H96" i="1"/>
  <c r="H6" i="1"/>
  <c r="I7" i="1" s="1"/>
  <c r="J6" i="1"/>
  <c r="K7" i="1" s="1"/>
  <c r="E6" i="1"/>
  <c r="F6" i="1"/>
  <c r="I12" i="1" l="1"/>
  <c r="K12" i="1"/>
  <c r="L6" i="1"/>
  <c r="M6" i="1" s="1"/>
  <c r="G33" i="1"/>
  <c r="G17" i="1"/>
  <c r="G18" i="1"/>
  <c r="G32" i="1"/>
  <c r="G16" i="1"/>
  <c r="G31" i="1"/>
  <c r="G15" i="1"/>
  <c r="G46" i="1"/>
  <c r="G30" i="1"/>
  <c r="G14" i="1"/>
  <c r="G45" i="1"/>
  <c r="G29" i="1"/>
  <c r="G13" i="1"/>
  <c r="G35" i="1"/>
  <c r="G44" i="1"/>
  <c r="G28" i="1"/>
  <c r="G43" i="1"/>
  <c r="G27" i="1"/>
  <c r="G11" i="1"/>
  <c r="G34" i="1"/>
  <c r="G42" i="1"/>
  <c r="G26" i="1"/>
  <c r="G10" i="1"/>
  <c r="G19" i="1"/>
  <c r="G41" i="1"/>
  <c r="G25" i="1"/>
  <c r="G9" i="1"/>
  <c r="G36" i="1"/>
  <c r="G40" i="1"/>
  <c r="G8" i="1"/>
  <c r="G39" i="1"/>
  <c r="G23" i="1"/>
  <c r="G38" i="1"/>
  <c r="G22" i="1"/>
  <c r="G37" i="1"/>
  <c r="G21" i="1"/>
  <c r="G20" i="1"/>
  <c r="G24" i="1"/>
  <c r="G12" i="1"/>
  <c r="J47" i="1"/>
  <c r="J48" i="1" s="1"/>
  <c r="K31" i="1"/>
  <c r="K15" i="1"/>
  <c r="K17" i="1"/>
  <c r="K46" i="1"/>
  <c r="K30" i="1"/>
  <c r="K14" i="1"/>
  <c r="K45" i="1"/>
  <c r="K29" i="1"/>
  <c r="K13" i="1"/>
  <c r="K44" i="1"/>
  <c r="K28" i="1"/>
  <c r="K43" i="1"/>
  <c r="K27" i="1"/>
  <c r="K11" i="1"/>
  <c r="K42" i="1"/>
  <c r="K26" i="1"/>
  <c r="K10" i="1"/>
  <c r="K34" i="1"/>
  <c r="K41" i="1"/>
  <c r="K25" i="1"/>
  <c r="K9" i="1"/>
  <c r="K16" i="1"/>
  <c r="K40" i="1"/>
  <c r="K8" i="1"/>
  <c r="K18" i="1"/>
  <c r="K39" i="1"/>
  <c r="K23" i="1"/>
  <c r="K33" i="1"/>
  <c r="K38" i="1"/>
  <c r="K22" i="1"/>
  <c r="K37" i="1"/>
  <c r="K21" i="1"/>
  <c r="K36" i="1"/>
  <c r="K20" i="1"/>
  <c r="K35" i="1"/>
  <c r="K19" i="1"/>
  <c r="K32" i="1"/>
  <c r="K24" i="1"/>
  <c r="G7" i="1"/>
  <c r="I40" i="1"/>
  <c r="I8" i="1"/>
  <c r="I27" i="1"/>
  <c r="I39" i="1"/>
  <c r="I23" i="1"/>
  <c r="I26" i="1"/>
  <c r="I41" i="1"/>
  <c r="I38" i="1"/>
  <c r="I22" i="1"/>
  <c r="I37" i="1"/>
  <c r="I21" i="1"/>
  <c r="I36" i="1"/>
  <c r="I20" i="1"/>
  <c r="I35" i="1"/>
  <c r="I19" i="1"/>
  <c r="I11" i="1"/>
  <c r="I34" i="1"/>
  <c r="I18" i="1"/>
  <c r="I42" i="1"/>
  <c r="I33" i="1"/>
  <c r="I17" i="1"/>
  <c r="I9" i="1"/>
  <c r="I32" i="1"/>
  <c r="I16" i="1"/>
  <c r="I10" i="1"/>
  <c r="I25" i="1"/>
  <c r="I31" i="1"/>
  <c r="I15" i="1"/>
  <c r="I46" i="1"/>
  <c r="I30" i="1"/>
  <c r="I14" i="1"/>
  <c r="I45" i="1"/>
  <c r="I29" i="1"/>
  <c r="I13" i="1"/>
  <c r="I44" i="1"/>
  <c r="I28" i="1"/>
  <c r="I43" i="1"/>
  <c r="I24" i="1"/>
  <c r="C48" i="1"/>
  <c r="H146" i="1"/>
  <c r="L145" i="1"/>
  <c r="M145" i="1" s="1"/>
  <c r="N145" i="1"/>
  <c r="O145" i="1" s="1"/>
  <c r="H97" i="1"/>
  <c r="N96" i="1"/>
  <c r="O96" i="1" s="1"/>
  <c r="L96" i="1"/>
  <c r="M96" i="1" s="1"/>
  <c r="E47" i="1"/>
  <c r="E48" i="1" s="1"/>
  <c r="H47" i="1"/>
  <c r="H48" i="1" s="1"/>
  <c r="F47" i="1"/>
  <c r="N47" i="1" l="1"/>
  <c r="O47" i="1" s="1"/>
  <c r="F48" i="1"/>
  <c r="L47" i="1"/>
  <c r="M47" i="1" s="1"/>
</calcChain>
</file>

<file path=xl/sharedStrings.xml><?xml version="1.0" encoding="utf-8"?>
<sst xmlns="http://schemas.openxmlformats.org/spreadsheetml/2006/main" count="324" uniqueCount="108">
  <si>
    <t>№ п/п</t>
  </si>
  <si>
    <t>Baku-Nomiqa и Dibai-Nomiqa</t>
  </si>
  <si>
    <t>Факт - прошлый месяц</t>
  </si>
  <si>
    <t>План месяца из годового плана</t>
  </si>
  <si>
    <t>План текущего месяца</t>
  </si>
  <si>
    <t xml:space="preserve">Факт текущего месяца </t>
  </si>
  <si>
    <t xml:space="preserve">Прогноз будущего месяца </t>
  </si>
  <si>
    <t>Доля, %</t>
  </si>
  <si>
    <t>1.</t>
  </si>
  <si>
    <t xml:space="preserve">Выручка </t>
  </si>
  <si>
    <t>1.1.</t>
  </si>
  <si>
    <t>Выручка от продажи недвижимости</t>
  </si>
  <si>
    <t>1.2.</t>
  </si>
  <si>
    <t>Выручка по дополнительным услугам</t>
  </si>
  <si>
    <t>2.</t>
  </si>
  <si>
    <t>Расходы</t>
  </si>
  <si>
    <t>2.1.</t>
  </si>
  <si>
    <t xml:space="preserve">ФОТ + налоги на ФОТ </t>
  </si>
  <si>
    <t>2.1.1.</t>
  </si>
  <si>
    <t xml:space="preserve">- ФОТ </t>
  </si>
  <si>
    <t>2.1.2.</t>
  </si>
  <si>
    <t xml:space="preserve">- Налоги </t>
  </si>
  <si>
    <t>2.2.</t>
  </si>
  <si>
    <t xml:space="preserve">Коммунальные расходы </t>
  </si>
  <si>
    <t>2.3.</t>
  </si>
  <si>
    <t>Комиссия внешним риэлторам и партнерам</t>
  </si>
  <si>
    <t>2.4.</t>
  </si>
  <si>
    <t>Закупки, обслуживание и ремонт:</t>
  </si>
  <si>
    <t>2.4.1.</t>
  </si>
  <si>
    <t xml:space="preserve"> - Бытовое оборудование, инвентарь</t>
  </si>
  <si>
    <t>2.4.2.</t>
  </si>
  <si>
    <t xml:space="preserve"> - Мебель</t>
  </si>
  <si>
    <t>2.4.3.</t>
  </si>
  <si>
    <t xml:space="preserve"> - Оргтехника</t>
  </si>
  <si>
    <t>2.4.4.</t>
  </si>
  <si>
    <t xml:space="preserve"> - Хоз.принадлежности</t>
  </si>
  <si>
    <t>2.4.5.</t>
  </si>
  <si>
    <t xml:space="preserve"> - Прочие мелкие ТМЦ</t>
  </si>
  <si>
    <t>2.4.6.</t>
  </si>
  <si>
    <t xml:space="preserve"> - Обслуживание объектов (бытовые вопросы, без ремонта)</t>
  </si>
  <si>
    <t>2.4.7.</t>
  </si>
  <si>
    <t xml:space="preserve"> - Страхование</t>
  </si>
  <si>
    <t>2.4.8.</t>
  </si>
  <si>
    <t xml:space="preserve"> - Ремонт текущий</t>
  </si>
  <si>
    <t>2.5.</t>
  </si>
  <si>
    <t>Маркетинговые расходы</t>
  </si>
  <si>
    <t>2.6.</t>
  </si>
  <si>
    <t>Налог на недвижимость</t>
  </si>
  <si>
    <t>2.7.</t>
  </si>
  <si>
    <t>РКО</t>
  </si>
  <si>
    <t>3.</t>
  </si>
  <si>
    <t>Прочие расходы</t>
  </si>
  <si>
    <t>3.1.</t>
  </si>
  <si>
    <t xml:space="preserve">- Командировки </t>
  </si>
  <si>
    <t>3.2.</t>
  </si>
  <si>
    <t xml:space="preserve">- Такси </t>
  </si>
  <si>
    <t>3.3.</t>
  </si>
  <si>
    <t>- Расходы на персонал</t>
  </si>
  <si>
    <t>3.4.</t>
  </si>
  <si>
    <t xml:space="preserve">- Консультационные услуги </t>
  </si>
  <si>
    <t>3.5.</t>
  </si>
  <si>
    <t xml:space="preserve">- Интернет, программы,телефоны </t>
  </si>
  <si>
    <t>3.6.</t>
  </si>
  <si>
    <t>- Представительские расходы</t>
  </si>
  <si>
    <t>3.7.</t>
  </si>
  <si>
    <t>- Бухгалтер</t>
  </si>
  <si>
    <t>3.8.</t>
  </si>
  <si>
    <t>- Юридические услуги (Голландия)</t>
  </si>
  <si>
    <t>3.9.</t>
  </si>
  <si>
    <t>- Юридические услуги</t>
  </si>
  <si>
    <t>3.10.</t>
  </si>
  <si>
    <t>- Налог на прибыль</t>
  </si>
  <si>
    <t>3.11.</t>
  </si>
  <si>
    <t>- Туристический налог</t>
  </si>
  <si>
    <t>3.12.</t>
  </si>
  <si>
    <t xml:space="preserve">- Ячейки </t>
  </si>
  <si>
    <t>3.13.</t>
  </si>
  <si>
    <t>- Расходы по содержанию автотранспорта</t>
  </si>
  <si>
    <t>3.14.</t>
  </si>
  <si>
    <t>- Лицензии, госпошлины, разрешения</t>
  </si>
  <si>
    <t>3.15.</t>
  </si>
  <si>
    <t xml:space="preserve">- Аренда офиса </t>
  </si>
  <si>
    <t>3.16.</t>
  </si>
  <si>
    <t xml:space="preserve">- Покупки в офис </t>
  </si>
  <si>
    <t>3.17.</t>
  </si>
  <si>
    <t>- Коммунальные офисные расходы</t>
  </si>
  <si>
    <t>3.18.</t>
  </si>
  <si>
    <t>- Возвраты клиентам</t>
  </si>
  <si>
    <t>3.19.</t>
  </si>
  <si>
    <t>- Транспортные услуги</t>
  </si>
  <si>
    <t>3.20.</t>
  </si>
  <si>
    <t>- Сайты (разработка и обслуживание)</t>
  </si>
  <si>
    <t>3.21.</t>
  </si>
  <si>
    <t>- Вознаграждение инвестора</t>
  </si>
  <si>
    <t>3.22.</t>
  </si>
  <si>
    <t>- Оффлайн мероприятия</t>
  </si>
  <si>
    <t>4.</t>
  </si>
  <si>
    <t>Валовая Прибыль</t>
  </si>
  <si>
    <t>5.</t>
  </si>
  <si>
    <t xml:space="preserve">Рентабельность </t>
  </si>
  <si>
    <t>Europe-Nomiqa</t>
  </si>
  <si>
    <t>Nomiqa (консолидированный)</t>
  </si>
  <si>
    <t xml:space="preserve"> - Объявление, реклама </t>
  </si>
  <si>
    <t>Комментарии</t>
  </si>
  <si>
    <t>План-факт месяца (H - F)</t>
  </si>
  <si>
    <t>% выполнения плана (L/F*100)</t>
  </si>
  <si>
    <t>Рост/снижение к предыдущему месяцу (H - C)</t>
  </si>
  <si>
    <t>% роста (N/C*100)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</si>
</sst>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[$€]#,##0"/>
    <numFmt numFmtId="166" formatCode="0.000%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0"/>
      <name val="Calibri"/>
      <family val="2"/>
      <charset val="204"/>
    </font>
    <font>
      <i/>
      <sz val="9"/>
      <name val="Arial"/>
      <family val="2"/>
      <charset val="204"/>
    </font>
    <font>
      <i/>
      <sz val="10"/>
      <name val="Calibri"/>
      <family val="2"/>
      <charset val="204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 applyAlignment="1">
      <alignment wrapText="1"/>
    </xf>
    <xf numFmtId="3" fontId="4" fillId="3" borderId="1" xfId="0" applyNumberFormat="1" applyFont="1" applyFill="1" applyBorder="1" applyAlignment="1">
      <alignment horizontal="center" wrapText="1"/>
    </xf>
    <xf numFmtId="3" fontId="4" fillId="6" borderId="1" xfId="0" applyNumberFormat="1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wrapText="1"/>
    </xf>
    <xf numFmtId="3" fontId="3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wrapText="1"/>
    </xf>
    <xf numFmtId="1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" fontId="1" fillId="0" borderId="1" xfId="0" applyNumberFormat="1" applyFont="1" applyBorder="1"/>
    <xf numFmtId="49" fontId="11" fillId="0" borderId="2" xfId="0" applyNumberFormat="1" applyFont="1" applyBorder="1" applyAlignment="1">
      <alignment wrapText="1"/>
    </xf>
    <xf numFmtId="49" fontId="7" fillId="0" borderId="2" xfId="0" applyNumberFormat="1" applyFont="1" applyBorder="1" applyAlignment="1">
      <alignment wrapText="1"/>
    </xf>
    <xf numFmtId="49" fontId="13" fillId="0" borderId="2" xfId="0" applyNumberFormat="1" applyFont="1" applyBorder="1" applyAlignment="1">
      <alignment wrapText="1"/>
    </xf>
    <xf numFmtId="49" fontId="14" fillId="0" borderId="2" xfId="0" applyNumberFormat="1" applyFont="1" applyBorder="1" applyAlignment="1">
      <alignment wrapText="1"/>
    </xf>
    <xf numFmtId="49" fontId="15" fillId="0" borderId="2" xfId="0" applyNumberFormat="1" applyFont="1" applyBorder="1" applyAlignment="1">
      <alignment wrapText="1"/>
    </xf>
    <xf numFmtId="49" fontId="16" fillId="0" borderId="2" xfId="0" applyNumberFormat="1" applyFont="1" applyBorder="1" applyAlignment="1">
      <alignment wrapText="1"/>
    </xf>
    <xf numFmtId="49" fontId="17" fillId="0" borderId="2" xfId="0" applyNumberFormat="1" applyFont="1" applyBorder="1" applyAlignment="1">
      <alignment wrapText="1"/>
    </xf>
    <xf numFmtId="49" fontId="12" fillId="0" borderId="0" xfId="0" applyNumberFormat="1" applyFont="1" applyAlignment="1">
      <alignment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wrapText="1"/>
    </xf>
    <xf numFmtId="166" fontId="2" fillId="3" borderId="1" xfId="0" applyNumberFormat="1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6" fontId="3" fillId="5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wrapText="1"/>
    </xf>
    <xf numFmtId="166" fontId="2" fillId="6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10" fontId="4" fillId="3" borderId="1" xfId="0" applyNumberFormat="1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wrapText="1"/>
    </xf>
    <xf numFmtId="167" fontId="2" fillId="6" borderId="1" xfId="0" applyNumberFormat="1" applyFont="1" applyFill="1" applyBorder="1" applyAlignment="1">
      <alignment horizontal="center" wrapText="1"/>
    </xf>
    <xf numFmtId="167" fontId="5" fillId="7" borderId="1" xfId="0" applyNumberFormat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3" fontId="19" fillId="0" borderId="1" xfId="0" applyNumberFormat="1" applyFont="1" applyBorder="1" applyAlignment="1">
      <alignment horizontal="center"/>
    </xf>
    <xf numFmtId="167" fontId="1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18" fillId="8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3" fontId="8" fillId="6" borderId="1" xfId="0" applyNumberFormat="1" applyFont="1" applyFill="1" applyBorder="1" applyAlignment="1">
      <alignment horizontal="center" wrapText="1"/>
    </xf>
    <xf numFmtId="10" fontId="8" fillId="3" borderId="1" xfId="0" applyNumberFormat="1" applyFont="1" applyFill="1" applyBorder="1" applyAlignment="1">
      <alignment horizont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4" fillId="3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10" fontId="8" fillId="6" borderId="1" xfId="0" applyNumberFormat="1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3" fontId="8" fillId="3" borderId="1" xfId="0" applyNumberFormat="1" applyFont="1" applyFill="1" applyBorder="1" applyAlignment="1">
      <alignment horizontal="center" wrapText="1"/>
    </xf>
    <xf numFmtId="10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abSelected="1" topLeftCell="A41" zoomScaleNormal="100" workbookViewId="0">
      <selection activeCell="B46" sqref="B46"/>
    </sheetView>
  </sheetViews>
  <sheetFormatPr defaultColWidth="12.6640625" defaultRowHeight="14.4" x14ac:dyDescent="0.3"/>
  <cols>
    <col min="1" max="1" width="6.21875" bestFit="1" customWidth="1"/>
    <col min="2" max="2" width="41.5546875" style="23" customWidth="1"/>
    <col min="3" max="3" width="12.6640625" style="9" customWidth="1"/>
    <col min="4" max="4" width="7.21875" style="30" customWidth="1"/>
    <col min="5" max="5" width="14.33203125" style="9" customWidth="1"/>
    <col min="6" max="6" width="14" style="9" customWidth="1"/>
    <col min="7" max="7" width="10.21875" style="30" bestFit="1" customWidth="1"/>
    <col min="8" max="8" width="12.6640625" style="9" customWidth="1"/>
    <col min="9" max="9" width="13.44140625" style="30" customWidth="1"/>
    <col min="10" max="10" width="14.5546875" style="9" bestFit="1" customWidth="1"/>
    <col min="11" max="11" width="10" style="30" customWidth="1"/>
    <col min="12" max="15" width="12.6640625" style="9"/>
    <col min="16" max="16" width="19.6640625" customWidth="1"/>
  </cols>
  <sheetData>
    <row r="1" spans="1:16" ht="66" x14ac:dyDescent="0.3">
      <c r="A1" s="48" t="s">
        <v>0</v>
      </c>
      <c r="B1" s="58" t="s">
        <v>1</v>
      </c>
      <c r="C1" s="60" t="s">
        <v>2</v>
      </c>
      <c r="D1" s="55"/>
      <c r="E1" s="50" t="s">
        <v>3</v>
      </c>
      <c r="F1" s="54" t="s">
        <v>4</v>
      </c>
      <c r="G1" s="55"/>
      <c r="H1" s="54" t="s">
        <v>5</v>
      </c>
      <c r="I1" s="55"/>
      <c r="J1" s="61" t="s">
        <v>6</v>
      </c>
      <c r="K1" s="62"/>
      <c r="L1" s="35" t="s">
        <v>104</v>
      </c>
      <c r="M1" s="36" t="s">
        <v>105</v>
      </c>
      <c r="N1" s="35" t="s">
        <v>106</v>
      </c>
      <c r="O1" s="36" t="s">
        <v>107</v>
      </c>
      <c r="P1" s="12" t="s">
        <v>103</v>
      </c>
    </row>
    <row r="2" spans="1:16" ht="27.6" x14ac:dyDescent="0.3">
      <c r="A2" s="49"/>
      <c r="B2" s="59"/>
      <c r="C2" s="24">
        <v>46204</v>
      </c>
      <c r="D2" s="27" t="s">
        <v>7</v>
      </c>
      <c r="E2" s="51"/>
      <c r="F2" s="25">
        <v>46235</v>
      </c>
      <c r="G2" s="31" t="s">
        <v>7</v>
      </c>
      <c r="H2" s="25">
        <v>46235</v>
      </c>
      <c r="I2" s="31" t="s">
        <v>7</v>
      </c>
      <c r="J2" s="26">
        <v>46266</v>
      </c>
      <c r="K2" s="34" t="s">
        <v>7</v>
      </c>
      <c r="L2" s="52">
        <f>F2</f>
        <v>46235</v>
      </c>
      <c r="M2" s="53"/>
      <c r="N2" s="52">
        <f>F2</f>
        <v>46235</v>
      </c>
      <c r="O2" s="53"/>
      <c r="P2" s="12"/>
    </row>
    <row r="3" spans="1:16" ht="15.6" x14ac:dyDescent="0.3">
      <c r="A3" s="10" t="s">
        <v>8</v>
      </c>
      <c r="B3" s="16" t="s">
        <v>9</v>
      </c>
      <c r="C3" s="2">
        <f>SUM(C4:C5)</f>
        <v>0</v>
      </c>
      <c r="D3" s="28"/>
      <c r="E3" s="2">
        <f>SUM(E4:E5)</f>
        <v>0</v>
      </c>
      <c r="F3" s="3">
        <f>SUM(F4:F5)</f>
        <v>0</v>
      </c>
      <c r="G3" s="32"/>
      <c r="H3" s="3">
        <f>SUM(H4:H5)</f>
        <v>0</v>
      </c>
      <c r="I3" s="33"/>
      <c r="J3" s="5">
        <f>SUM(J4:J5)</f>
        <v>0</v>
      </c>
      <c r="K3" s="43"/>
      <c r="L3" s="44">
        <f>H3-F3</f>
        <v>0</v>
      </c>
      <c r="M3" s="45">
        <f>IFERROR(L3/F3,0)</f>
        <v>0</v>
      </c>
      <c r="N3" s="44">
        <f>H3-C3</f>
        <v>0</v>
      </c>
      <c r="O3" s="45">
        <f>IFERROR(N3/C3,0)</f>
        <v>0</v>
      </c>
      <c r="P3" s="37"/>
    </row>
    <row r="4" spans="1:16" ht="15.6" x14ac:dyDescent="0.3">
      <c r="A4" s="1" t="s">
        <v>10</v>
      </c>
      <c r="B4" s="17" t="s">
        <v>11</v>
      </c>
      <c r="C4" s="6"/>
      <c r="D4" s="29"/>
      <c r="E4" s="6"/>
      <c r="F4" s="4"/>
      <c r="G4" s="33"/>
      <c r="H4" s="4"/>
      <c r="I4" s="33"/>
      <c r="J4" s="7"/>
      <c r="K4" s="46"/>
      <c r="L4" s="44">
        <f t="shared" ref="L4:L46" si="0">H4-F4</f>
        <v>0</v>
      </c>
      <c r="M4" s="45">
        <f t="shared" ref="M4:M47" si="1">IFERROR(L4/F4,0)</f>
        <v>0</v>
      </c>
      <c r="N4" s="44">
        <f t="shared" ref="N4:N46" si="2">H4-C4</f>
        <v>0</v>
      </c>
      <c r="O4" s="45">
        <f t="shared" ref="O4:O47" si="3">IFERROR(N4/C4,0)</f>
        <v>0</v>
      </c>
      <c r="P4" s="37"/>
    </row>
    <row r="5" spans="1:16" ht="15.6" x14ac:dyDescent="0.3">
      <c r="A5" s="1" t="s">
        <v>12</v>
      </c>
      <c r="B5" s="17" t="s">
        <v>13</v>
      </c>
      <c r="C5" s="6"/>
      <c r="D5" s="29"/>
      <c r="E5" s="6"/>
      <c r="F5" s="4"/>
      <c r="G5" s="33"/>
      <c r="H5" s="4"/>
      <c r="I5" s="33"/>
      <c r="J5" s="7"/>
      <c r="K5" s="46"/>
      <c r="L5" s="44">
        <f t="shared" si="0"/>
        <v>0</v>
      </c>
      <c r="M5" s="45">
        <f t="shared" si="1"/>
        <v>0</v>
      </c>
      <c r="N5" s="44">
        <f t="shared" si="2"/>
        <v>0</v>
      </c>
      <c r="O5" s="45">
        <f t="shared" si="3"/>
        <v>0</v>
      </c>
      <c r="P5" s="38"/>
    </row>
    <row r="6" spans="1:16" ht="15.6" x14ac:dyDescent="0.3">
      <c r="A6" s="10" t="s">
        <v>14</v>
      </c>
      <c r="B6" s="18" t="s">
        <v>15</v>
      </c>
      <c r="C6" s="2">
        <f>C7+C10+C11+C12+C21+C22+C23+C24</f>
        <v>0</v>
      </c>
      <c r="D6" s="28"/>
      <c r="E6" s="2">
        <f>E7+E10+E11+E12+E21+E22+E23+E24</f>
        <v>0</v>
      </c>
      <c r="F6" s="3">
        <f>F7+F10+F11+F12+F21+F22+F23+F24</f>
        <v>0</v>
      </c>
      <c r="G6" s="33"/>
      <c r="H6" s="3">
        <f>H7+H10+H11+H12+H21+H22+H23+H24</f>
        <v>0</v>
      </c>
      <c r="I6" s="33"/>
      <c r="J6" s="5">
        <f>J7+J10+J11+J12+J21+J22+J23+J24</f>
        <v>0</v>
      </c>
      <c r="K6" s="47"/>
      <c r="L6" s="44">
        <f t="shared" si="0"/>
        <v>0</v>
      </c>
      <c r="M6" s="45">
        <f t="shared" si="1"/>
        <v>0</v>
      </c>
      <c r="N6" s="44">
        <f t="shared" si="2"/>
        <v>0</v>
      </c>
      <c r="O6" s="45">
        <f t="shared" si="3"/>
        <v>0</v>
      </c>
      <c r="P6" s="12"/>
    </row>
    <row r="7" spans="1:16" ht="15.6" x14ac:dyDescent="0.3">
      <c r="A7" s="11" t="s">
        <v>16</v>
      </c>
      <c r="B7" s="18" t="s">
        <v>17</v>
      </c>
      <c r="C7" s="6">
        <f>C8+C9</f>
        <v>0</v>
      </c>
      <c r="D7" s="40">
        <f>IFERROR(C7/$C$6,0)</f>
        <v>0</v>
      </c>
      <c r="E7" s="6">
        <f>E9+E8</f>
        <v>0</v>
      </c>
      <c r="F7" s="4">
        <f>F9+F8</f>
        <v>0</v>
      </c>
      <c r="G7" s="41">
        <f>IFERROR(F7/$F$6,0)</f>
        <v>0</v>
      </c>
      <c r="H7" s="4">
        <f>H8+H9</f>
        <v>0</v>
      </c>
      <c r="I7" s="41">
        <f>IFERROR(H7/$H$6,0)</f>
        <v>0</v>
      </c>
      <c r="J7" s="7">
        <f>J8+J9</f>
        <v>0</v>
      </c>
      <c r="K7" s="42">
        <f>IFERROR(J7/$J$6,0)</f>
        <v>0</v>
      </c>
      <c r="L7" s="44">
        <f t="shared" si="0"/>
        <v>0</v>
      </c>
      <c r="M7" s="45">
        <f t="shared" si="1"/>
        <v>0</v>
      </c>
      <c r="N7" s="44">
        <f t="shared" si="2"/>
        <v>0</v>
      </c>
      <c r="O7" s="45">
        <f t="shared" si="3"/>
        <v>0</v>
      </c>
      <c r="P7" s="12"/>
    </row>
    <row r="8" spans="1:16" ht="15.6" x14ac:dyDescent="0.3">
      <c r="A8" s="1" t="s">
        <v>18</v>
      </c>
      <c r="B8" s="19" t="s">
        <v>19</v>
      </c>
      <c r="C8" s="6"/>
      <c r="D8" s="40">
        <f t="shared" ref="D8:D46" si="4">IFERROR(C8/$C$6,0)</f>
        <v>0</v>
      </c>
      <c r="E8" s="6"/>
      <c r="F8" s="4"/>
      <c r="G8" s="41">
        <f t="shared" ref="G8:G46" si="5">IFERROR(F8/$F$6,0)</f>
        <v>0</v>
      </c>
      <c r="H8" s="4"/>
      <c r="I8" s="41">
        <f t="shared" ref="I8:I46" si="6">IFERROR(H8/$H$6,0)</f>
        <v>0</v>
      </c>
      <c r="J8" s="7"/>
      <c r="K8" s="42">
        <f t="shared" ref="K8:K46" si="7">IFERROR(J8/$J$6,0)</f>
        <v>0</v>
      </c>
      <c r="L8" s="44">
        <f t="shared" si="0"/>
        <v>0</v>
      </c>
      <c r="M8" s="45">
        <f t="shared" si="1"/>
        <v>0</v>
      </c>
      <c r="N8" s="44">
        <f t="shared" si="2"/>
        <v>0</v>
      </c>
      <c r="O8" s="45">
        <f t="shared" si="3"/>
        <v>0</v>
      </c>
      <c r="P8" s="12"/>
    </row>
    <row r="9" spans="1:16" ht="15.6" x14ac:dyDescent="0.3">
      <c r="A9" s="12" t="s">
        <v>20</v>
      </c>
      <c r="B9" s="19" t="s">
        <v>21</v>
      </c>
      <c r="C9" s="6"/>
      <c r="D9" s="40">
        <f t="shared" si="4"/>
        <v>0</v>
      </c>
      <c r="E9" s="6"/>
      <c r="F9" s="4"/>
      <c r="G9" s="41">
        <f t="shared" si="5"/>
        <v>0</v>
      </c>
      <c r="H9" s="4"/>
      <c r="I9" s="41">
        <f t="shared" si="6"/>
        <v>0</v>
      </c>
      <c r="J9" s="7"/>
      <c r="K9" s="42">
        <f t="shared" si="7"/>
        <v>0</v>
      </c>
      <c r="L9" s="44">
        <f t="shared" si="0"/>
        <v>0</v>
      </c>
      <c r="M9" s="45">
        <f t="shared" si="1"/>
        <v>0</v>
      </c>
      <c r="N9" s="44">
        <f t="shared" si="2"/>
        <v>0</v>
      </c>
      <c r="O9" s="45">
        <f t="shared" si="3"/>
        <v>0</v>
      </c>
      <c r="P9" s="12"/>
    </row>
    <row r="10" spans="1:16" ht="15.6" x14ac:dyDescent="0.3">
      <c r="A10" s="1" t="s">
        <v>22</v>
      </c>
      <c r="B10" s="18" t="s">
        <v>23</v>
      </c>
      <c r="C10" s="6"/>
      <c r="D10" s="40">
        <f t="shared" si="4"/>
        <v>0</v>
      </c>
      <c r="E10" s="6"/>
      <c r="F10" s="4"/>
      <c r="G10" s="41">
        <f t="shared" si="5"/>
        <v>0</v>
      </c>
      <c r="H10" s="4"/>
      <c r="I10" s="41">
        <f t="shared" si="6"/>
        <v>0</v>
      </c>
      <c r="J10" s="7"/>
      <c r="K10" s="42">
        <f t="shared" si="7"/>
        <v>0</v>
      </c>
      <c r="L10" s="44">
        <f t="shared" si="0"/>
        <v>0</v>
      </c>
      <c r="M10" s="45">
        <f t="shared" si="1"/>
        <v>0</v>
      </c>
      <c r="N10" s="44">
        <f t="shared" si="2"/>
        <v>0</v>
      </c>
      <c r="O10" s="45">
        <f t="shared" si="3"/>
        <v>0</v>
      </c>
      <c r="P10" s="12"/>
    </row>
    <row r="11" spans="1:16" ht="15.6" x14ac:dyDescent="0.3">
      <c r="A11" s="1" t="s">
        <v>24</v>
      </c>
      <c r="B11" s="18" t="s">
        <v>25</v>
      </c>
      <c r="C11" s="6"/>
      <c r="D11" s="40">
        <f t="shared" si="4"/>
        <v>0</v>
      </c>
      <c r="E11" s="6"/>
      <c r="F11" s="4"/>
      <c r="G11" s="41">
        <f t="shared" si="5"/>
        <v>0</v>
      </c>
      <c r="H11" s="4"/>
      <c r="I11" s="41">
        <f t="shared" si="6"/>
        <v>0</v>
      </c>
      <c r="J11" s="7"/>
      <c r="K11" s="42">
        <f t="shared" si="7"/>
        <v>0</v>
      </c>
      <c r="L11" s="44">
        <f t="shared" si="0"/>
        <v>0</v>
      </c>
      <c r="M11" s="45">
        <f t="shared" si="1"/>
        <v>0</v>
      </c>
      <c r="N11" s="44">
        <f t="shared" si="2"/>
        <v>0</v>
      </c>
      <c r="O11" s="45">
        <f t="shared" si="3"/>
        <v>0</v>
      </c>
      <c r="P11" s="12"/>
    </row>
    <row r="12" spans="1:16" ht="15.6" x14ac:dyDescent="0.3">
      <c r="A12" s="1" t="s">
        <v>26</v>
      </c>
      <c r="B12" s="18" t="s">
        <v>27</v>
      </c>
      <c r="C12" s="6">
        <f>SUM(C13:C20)</f>
        <v>0</v>
      </c>
      <c r="D12" s="40">
        <f t="shared" si="4"/>
        <v>0</v>
      </c>
      <c r="E12" s="6">
        <f>SUM(E13:E20)</f>
        <v>0</v>
      </c>
      <c r="F12" s="4">
        <f>SUM(F13:F20)</f>
        <v>0</v>
      </c>
      <c r="G12" s="41">
        <f t="shared" si="5"/>
        <v>0</v>
      </c>
      <c r="H12" s="4">
        <f>SUM(H13:H20)</f>
        <v>0</v>
      </c>
      <c r="I12" s="41">
        <f t="shared" si="6"/>
        <v>0</v>
      </c>
      <c r="J12" s="7">
        <f>SUM(J13:J20)</f>
        <v>0</v>
      </c>
      <c r="K12" s="42">
        <f t="shared" si="7"/>
        <v>0</v>
      </c>
      <c r="L12" s="44">
        <f t="shared" si="0"/>
        <v>0</v>
      </c>
      <c r="M12" s="45">
        <f t="shared" si="1"/>
        <v>0</v>
      </c>
      <c r="N12" s="44">
        <f t="shared" si="2"/>
        <v>0</v>
      </c>
      <c r="O12" s="45">
        <f t="shared" si="3"/>
        <v>0</v>
      </c>
      <c r="P12" s="12"/>
    </row>
    <row r="13" spans="1:16" ht="15.6" x14ac:dyDescent="0.3">
      <c r="A13" s="1" t="s">
        <v>28</v>
      </c>
      <c r="B13" s="20" t="s">
        <v>29</v>
      </c>
      <c r="C13" s="6"/>
      <c r="D13" s="40">
        <f t="shared" si="4"/>
        <v>0</v>
      </c>
      <c r="E13" s="6"/>
      <c r="F13" s="4"/>
      <c r="G13" s="41">
        <f t="shared" si="5"/>
        <v>0</v>
      </c>
      <c r="H13" s="4"/>
      <c r="I13" s="41">
        <f t="shared" si="6"/>
        <v>0</v>
      </c>
      <c r="J13" s="7"/>
      <c r="K13" s="42">
        <f t="shared" si="7"/>
        <v>0</v>
      </c>
      <c r="L13" s="44">
        <f t="shared" si="0"/>
        <v>0</v>
      </c>
      <c r="M13" s="45">
        <f t="shared" si="1"/>
        <v>0</v>
      </c>
      <c r="N13" s="44">
        <f t="shared" si="2"/>
        <v>0</v>
      </c>
      <c r="O13" s="45">
        <f t="shared" si="3"/>
        <v>0</v>
      </c>
      <c r="P13" s="12"/>
    </row>
    <row r="14" spans="1:16" ht="15.6" x14ac:dyDescent="0.3">
      <c r="A14" s="1" t="s">
        <v>30</v>
      </c>
      <c r="B14" s="20" t="s">
        <v>31</v>
      </c>
      <c r="C14" s="6"/>
      <c r="D14" s="40">
        <f t="shared" si="4"/>
        <v>0</v>
      </c>
      <c r="E14" s="6"/>
      <c r="F14" s="4"/>
      <c r="G14" s="41">
        <f t="shared" si="5"/>
        <v>0</v>
      </c>
      <c r="H14" s="4"/>
      <c r="I14" s="41">
        <f t="shared" si="6"/>
        <v>0</v>
      </c>
      <c r="J14" s="7"/>
      <c r="K14" s="42">
        <f t="shared" si="7"/>
        <v>0</v>
      </c>
      <c r="L14" s="44">
        <f t="shared" si="0"/>
        <v>0</v>
      </c>
      <c r="M14" s="45">
        <f t="shared" si="1"/>
        <v>0</v>
      </c>
      <c r="N14" s="44">
        <f t="shared" si="2"/>
        <v>0</v>
      </c>
      <c r="O14" s="45">
        <f t="shared" si="3"/>
        <v>0</v>
      </c>
      <c r="P14" s="12"/>
    </row>
    <row r="15" spans="1:16" ht="15.6" x14ac:dyDescent="0.3">
      <c r="A15" s="1" t="s">
        <v>32</v>
      </c>
      <c r="B15" s="20" t="s">
        <v>33</v>
      </c>
      <c r="C15" s="6"/>
      <c r="D15" s="40">
        <f t="shared" si="4"/>
        <v>0</v>
      </c>
      <c r="E15" s="6"/>
      <c r="F15" s="4"/>
      <c r="G15" s="41">
        <f t="shared" si="5"/>
        <v>0</v>
      </c>
      <c r="H15" s="4"/>
      <c r="I15" s="41">
        <f t="shared" si="6"/>
        <v>0</v>
      </c>
      <c r="J15" s="7"/>
      <c r="K15" s="42">
        <f t="shared" si="7"/>
        <v>0</v>
      </c>
      <c r="L15" s="44">
        <f t="shared" si="0"/>
        <v>0</v>
      </c>
      <c r="M15" s="45">
        <f t="shared" si="1"/>
        <v>0</v>
      </c>
      <c r="N15" s="44">
        <f t="shared" si="2"/>
        <v>0</v>
      </c>
      <c r="O15" s="45">
        <f t="shared" si="3"/>
        <v>0</v>
      </c>
      <c r="P15" s="12"/>
    </row>
    <row r="16" spans="1:16" ht="15.6" x14ac:dyDescent="0.3">
      <c r="A16" s="1" t="s">
        <v>34</v>
      </c>
      <c r="B16" s="20" t="s">
        <v>35</v>
      </c>
      <c r="C16" s="6"/>
      <c r="D16" s="40">
        <f t="shared" si="4"/>
        <v>0</v>
      </c>
      <c r="E16" s="6"/>
      <c r="F16" s="4"/>
      <c r="G16" s="41">
        <f t="shared" si="5"/>
        <v>0</v>
      </c>
      <c r="H16" s="4"/>
      <c r="I16" s="41">
        <f t="shared" si="6"/>
        <v>0</v>
      </c>
      <c r="J16" s="7"/>
      <c r="K16" s="42">
        <f t="shared" si="7"/>
        <v>0</v>
      </c>
      <c r="L16" s="44">
        <f t="shared" si="0"/>
        <v>0</v>
      </c>
      <c r="M16" s="45">
        <f t="shared" si="1"/>
        <v>0</v>
      </c>
      <c r="N16" s="44">
        <f t="shared" si="2"/>
        <v>0</v>
      </c>
      <c r="O16" s="45">
        <f t="shared" si="3"/>
        <v>0</v>
      </c>
      <c r="P16" s="12"/>
    </row>
    <row r="17" spans="1:16" ht="15.6" x14ac:dyDescent="0.3">
      <c r="A17" s="1" t="s">
        <v>36</v>
      </c>
      <c r="B17" s="20" t="s">
        <v>37</v>
      </c>
      <c r="C17" s="6"/>
      <c r="D17" s="40">
        <f t="shared" si="4"/>
        <v>0</v>
      </c>
      <c r="E17" s="6"/>
      <c r="F17" s="4"/>
      <c r="G17" s="41">
        <f t="shared" si="5"/>
        <v>0</v>
      </c>
      <c r="H17" s="4"/>
      <c r="I17" s="41">
        <f t="shared" si="6"/>
        <v>0</v>
      </c>
      <c r="J17" s="7"/>
      <c r="K17" s="42">
        <f t="shared" si="7"/>
        <v>0</v>
      </c>
      <c r="L17" s="44">
        <f t="shared" si="0"/>
        <v>0</v>
      </c>
      <c r="M17" s="45">
        <f t="shared" si="1"/>
        <v>0</v>
      </c>
      <c r="N17" s="44">
        <f t="shared" si="2"/>
        <v>0</v>
      </c>
      <c r="O17" s="45">
        <f t="shared" si="3"/>
        <v>0</v>
      </c>
      <c r="P17" s="12"/>
    </row>
    <row r="18" spans="1:16" ht="27.6" x14ac:dyDescent="0.3">
      <c r="A18" s="1" t="s">
        <v>38</v>
      </c>
      <c r="B18" s="20" t="s">
        <v>39</v>
      </c>
      <c r="C18" s="6"/>
      <c r="D18" s="40">
        <f t="shared" si="4"/>
        <v>0</v>
      </c>
      <c r="E18" s="6"/>
      <c r="F18" s="4"/>
      <c r="G18" s="41">
        <f t="shared" si="5"/>
        <v>0</v>
      </c>
      <c r="H18" s="4"/>
      <c r="I18" s="41">
        <f t="shared" si="6"/>
        <v>0</v>
      </c>
      <c r="J18" s="7"/>
      <c r="K18" s="42">
        <f t="shared" si="7"/>
        <v>0</v>
      </c>
      <c r="L18" s="44">
        <f t="shared" si="0"/>
        <v>0</v>
      </c>
      <c r="M18" s="45">
        <f t="shared" si="1"/>
        <v>0</v>
      </c>
      <c r="N18" s="44">
        <f t="shared" si="2"/>
        <v>0</v>
      </c>
      <c r="O18" s="45">
        <f t="shared" si="3"/>
        <v>0</v>
      </c>
      <c r="P18" s="12"/>
    </row>
    <row r="19" spans="1:16" ht="15.6" x14ac:dyDescent="0.3">
      <c r="A19" s="1" t="s">
        <v>40</v>
      </c>
      <c r="B19" s="20" t="s">
        <v>41</v>
      </c>
      <c r="C19" s="6"/>
      <c r="D19" s="40">
        <f t="shared" si="4"/>
        <v>0</v>
      </c>
      <c r="E19" s="6"/>
      <c r="F19" s="4"/>
      <c r="G19" s="41">
        <f t="shared" si="5"/>
        <v>0</v>
      </c>
      <c r="H19" s="4"/>
      <c r="I19" s="41">
        <f t="shared" si="6"/>
        <v>0</v>
      </c>
      <c r="J19" s="7"/>
      <c r="K19" s="42">
        <f t="shared" si="7"/>
        <v>0</v>
      </c>
      <c r="L19" s="44">
        <f t="shared" si="0"/>
        <v>0</v>
      </c>
      <c r="M19" s="45">
        <f t="shared" si="1"/>
        <v>0</v>
      </c>
      <c r="N19" s="44">
        <f t="shared" si="2"/>
        <v>0</v>
      </c>
      <c r="O19" s="45">
        <f t="shared" si="3"/>
        <v>0</v>
      </c>
      <c r="P19" s="12"/>
    </row>
    <row r="20" spans="1:16" ht="15.6" x14ac:dyDescent="0.3">
      <c r="A20" s="1" t="s">
        <v>42</v>
      </c>
      <c r="B20" s="20" t="s">
        <v>43</v>
      </c>
      <c r="C20" s="6"/>
      <c r="D20" s="40">
        <f t="shared" si="4"/>
        <v>0</v>
      </c>
      <c r="E20" s="6"/>
      <c r="F20" s="4"/>
      <c r="G20" s="41">
        <f t="shared" si="5"/>
        <v>0</v>
      </c>
      <c r="H20" s="4"/>
      <c r="I20" s="41">
        <f t="shared" si="6"/>
        <v>0</v>
      </c>
      <c r="J20" s="7"/>
      <c r="K20" s="42">
        <f t="shared" si="7"/>
        <v>0</v>
      </c>
      <c r="L20" s="44">
        <f t="shared" si="0"/>
        <v>0</v>
      </c>
      <c r="M20" s="45">
        <f t="shared" si="1"/>
        <v>0</v>
      </c>
      <c r="N20" s="44">
        <f t="shared" si="2"/>
        <v>0</v>
      </c>
      <c r="O20" s="45">
        <f t="shared" si="3"/>
        <v>0</v>
      </c>
      <c r="P20" s="12"/>
    </row>
    <row r="21" spans="1:16" ht="15.6" x14ac:dyDescent="0.3">
      <c r="A21" s="1" t="s">
        <v>44</v>
      </c>
      <c r="B21" s="18" t="s">
        <v>45</v>
      </c>
      <c r="C21" s="6"/>
      <c r="D21" s="40">
        <f t="shared" si="4"/>
        <v>0</v>
      </c>
      <c r="E21" s="6"/>
      <c r="F21" s="4"/>
      <c r="G21" s="41">
        <f t="shared" si="5"/>
        <v>0</v>
      </c>
      <c r="H21" s="4"/>
      <c r="I21" s="41">
        <f t="shared" si="6"/>
        <v>0</v>
      </c>
      <c r="J21" s="7"/>
      <c r="K21" s="42">
        <f t="shared" si="7"/>
        <v>0</v>
      </c>
      <c r="L21" s="44">
        <f t="shared" si="0"/>
        <v>0</v>
      </c>
      <c r="M21" s="45">
        <f t="shared" si="1"/>
        <v>0</v>
      </c>
      <c r="N21" s="44">
        <f t="shared" si="2"/>
        <v>0</v>
      </c>
      <c r="O21" s="45">
        <f t="shared" si="3"/>
        <v>0</v>
      </c>
      <c r="P21" s="12"/>
    </row>
    <row r="22" spans="1:16" ht="15.6" x14ac:dyDescent="0.3">
      <c r="A22" s="1" t="s">
        <v>46</v>
      </c>
      <c r="B22" s="18" t="s">
        <v>47</v>
      </c>
      <c r="C22" s="6"/>
      <c r="D22" s="40">
        <f t="shared" si="4"/>
        <v>0</v>
      </c>
      <c r="E22" s="6"/>
      <c r="F22" s="4"/>
      <c r="G22" s="41">
        <f t="shared" si="5"/>
        <v>0</v>
      </c>
      <c r="H22" s="4"/>
      <c r="I22" s="41">
        <f t="shared" si="6"/>
        <v>0</v>
      </c>
      <c r="J22" s="7"/>
      <c r="K22" s="42">
        <f t="shared" si="7"/>
        <v>0</v>
      </c>
      <c r="L22" s="44">
        <f t="shared" si="0"/>
        <v>0</v>
      </c>
      <c r="M22" s="45">
        <f t="shared" si="1"/>
        <v>0</v>
      </c>
      <c r="N22" s="44">
        <f t="shared" si="2"/>
        <v>0</v>
      </c>
      <c r="O22" s="45">
        <f t="shared" si="3"/>
        <v>0</v>
      </c>
      <c r="P22" s="12"/>
    </row>
    <row r="23" spans="1:16" ht="15.6" x14ac:dyDescent="0.3">
      <c r="A23" s="1" t="s">
        <v>48</v>
      </c>
      <c r="B23" s="18" t="s">
        <v>49</v>
      </c>
      <c r="C23" s="6"/>
      <c r="D23" s="40">
        <f t="shared" si="4"/>
        <v>0</v>
      </c>
      <c r="E23" s="6"/>
      <c r="F23" s="4"/>
      <c r="G23" s="41">
        <f t="shared" si="5"/>
        <v>0</v>
      </c>
      <c r="H23" s="4"/>
      <c r="I23" s="41">
        <f t="shared" si="6"/>
        <v>0</v>
      </c>
      <c r="J23" s="7"/>
      <c r="K23" s="42">
        <f t="shared" si="7"/>
        <v>0</v>
      </c>
      <c r="L23" s="44">
        <f t="shared" si="0"/>
        <v>0</v>
      </c>
      <c r="M23" s="45">
        <f t="shared" si="1"/>
        <v>0</v>
      </c>
      <c r="N23" s="44">
        <f t="shared" si="2"/>
        <v>0</v>
      </c>
      <c r="O23" s="45">
        <f t="shared" si="3"/>
        <v>0</v>
      </c>
      <c r="P23" s="12"/>
    </row>
    <row r="24" spans="1:16" ht="15.6" x14ac:dyDescent="0.3">
      <c r="A24" s="10" t="s">
        <v>50</v>
      </c>
      <c r="B24" s="18" t="s">
        <v>51</v>
      </c>
      <c r="C24" s="2">
        <f>SUM(C25:C46)</f>
        <v>0</v>
      </c>
      <c r="D24" s="40">
        <f t="shared" si="4"/>
        <v>0</v>
      </c>
      <c r="E24" s="2">
        <f>SUM(E25:E46)</f>
        <v>0</v>
      </c>
      <c r="F24" s="3">
        <f>SUM(F25:F46)</f>
        <v>0</v>
      </c>
      <c r="G24" s="41">
        <f t="shared" si="5"/>
        <v>0</v>
      </c>
      <c r="H24" s="3">
        <f>SUM(H25:H46)</f>
        <v>0</v>
      </c>
      <c r="I24" s="41">
        <f t="shared" si="6"/>
        <v>0</v>
      </c>
      <c r="J24" s="5">
        <f>SUM(J25:J46)</f>
        <v>0</v>
      </c>
      <c r="K24" s="42">
        <f t="shared" si="7"/>
        <v>0</v>
      </c>
      <c r="L24" s="44">
        <f t="shared" si="0"/>
        <v>0</v>
      </c>
      <c r="M24" s="45">
        <f t="shared" si="1"/>
        <v>0</v>
      </c>
      <c r="N24" s="44">
        <f t="shared" si="2"/>
        <v>0</v>
      </c>
      <c r="O24" s="45">
        <f t="shared" si="3"/>
        <v>0</v>
      </c>
      <c r="P24" s="12"/>
    </row>
    <row r="25" spans="1:16" ht="15.6" x14ac:dyDescent="0.3">
      <c r="A25" s="1" t="s">
        <v>52</v>
      </c>
      <c r="B25" s="21" t="s">
        <v>53</v>
      </c>
      <c r="C25" s="6"/>
      <c r="D25" s="40">
        <f t="shared" si="4"/>
        <v>0</v>
      </c>
      <c r="E25" s="6"/>
      <c r="F25" s="4"/>
      <c r="G25" s="41">
        <f t="shared" si="5"/>
        <v>0</v>
      </c>
      <c r="H25" s="4"/>
      <c r="I25" s="41">
        <f t="shared" si="6"/>
        <v>0</v>
      </c>
      <c r="J25" s="7"/>
      <c r="K25" s="42">
        <f t="shared" si="7"/>
        <v>0</v>
      </c>
      <c r="L25" s="44">
        <f t="shared" si="0"/>
        <v>0</v>
      </c>
      <c r="M25" s="45">
        <f t="shared" si="1"/>
        <v>0</v>
      </c>
      <c r="N25" s="44">
        <f t="shared" si="2"/>
        <v>0</v>
      </c>
      <c r="O25" s="45">
        <f t="shared" si="3"/>
        <v>0</v>
      </c>
      <c r="P25" s="12"/>
    </row>
    <row r="26" spans="1:16" ht="15.6" x14ac:dyDescent="0.3">
      <c r="A26" s="1" t="s">
        <v>54</v>
      </c>
      <c r="B26" s="21" t="s">
        <v>55</v>
      </c>
      <c r="C26" s="6"/>
      <c r="D26" s="40">
        <f t="shared" si="4"/>
        <v>0</v>
      </c>
      <c r="E26" s="6"/>
      <c r="F26" s="4"/>
      <c r="G26" s="41">
        <f t="shared" si="5"/>
        <v>0</v>
      </c>
      <c r="H26" s="4"/>
      <c r="I26" s="41">
        <f t="shared" si="6"/>
        <v>0</v>
      </c>
      <c r="J26" s="7"/>
      <c r="K26" s="42">
        <f t="shared" si="7"/>
        <v>0</v>
      </c>
      <c r="L26" s="44">
        <f t="shared" si="0"/>
        <v>0</v>
      </c>
      <c r="M26" s="45">
        <f t="shared" si="1"/>
        <v>0</v>
      </c>
      <c r="N26" s="44">
        <f t="shared" si="2"/>
        <v>0</v>
      </c>
      <c r="O26" s="45">
        <f t="shared" si="3"/>
        <v>0</v>
      </c>
      <c r="P26" s="12"/>
    </row>
    <row r="27" spans="1:16" ht="15.6" x14ac:dyDescent="0.3">
      <c r="A27" s="1" t="s">
        <v>56</v>
      </c>
      <c r="B27" s="21" t="s">
        <v>57</v>
      </c>
      <c r="C27" s="6"/>
      <c r="D27" s="40">
        <f t="shared" si="4"/>
        <v>0</v>
      </c>
      <c r="E27" s="6"/>
      <c r="F27" s="4"/>
      <c r="G27" s="41">
        <f t="shared" si="5"/>
        <v>0</v>
      </c>
      <c r="H27" s="4"/>
      <c r="I27" s="41">
        <f t="shared" si="6"/>
        <v>0</v>
      </c>
      <c r="J27" s="7"/>
      <c r="K27" s="42">
        <f t="shared" si="7"/>
        <v>0</v>
      </c>
      <c r="L27" s="44">
        <f t="shared" si="0"/>
        <v>0</v>
      </c>
      <c r="M27" s="45">
        <f t="shared" si="1"/>
        <v>0</v>
      </c>
      <c r="N27" s="44">
        <f t="shared" si="2"/>
        <v>0</v>
      </c>
      <c r="O27" s="45">
        <f t="shared" si="3"/>
        <v>0</v>
      </c>
      <c r="P27" s="12"/>
    </row>
    <row r="28" spans="1:16" ht="15.6" x14ac:dyDescent="0.3">
      <c r="A28" s="1" t="s">
        <v>58</v>
      </c>
      <c r="B28" s="21" t="s">
        <v>59</v>
      </c>
      <c r="C28" s="6"/>
      <c r="D28" s="40">
        <f t="shared" si="4"/>
        <v>0</v>
      </c>
      <c r="E28" s="6"/>
      <c r="F28" s="4"/>
      <c r="G28" s="41">
        <f t="shared" si="5"/>
        <v>0</v>
      </c>
      <c r="H28" s="4"/>
      <c r="I28" s="41">
        <f t="shared" si="6"/>
        <v>0</v>
      </c>
      <c r="J28" s="7"/>
      <c r="K28" s="42">
        <f t="shared" si="7"/>
        <v>0</v>
      </c>
      <c r="L28" s="44">
        <f t="shared" si="0"/>
        <v>0</v>
      </c>
      <c r="M28" s="45">
        <f t="shared" si="1"/>
        <v>0</v>
      </c>
      <c r="N28" s="44">
        <f t="shared" si="2"/>
        <v>0</v>
      </c>
      <c r="O28" s="45">
        <f t="shared" si="3"/>
        <v>0</v>
      </c>
      <c r="P28" s="12"/>
    </row>
    <row r="29" spans="1:16" ht="15.6" x14ac:dyDescent="0.3">
      <c r="A29" s="1" t="s">
        <v>60</v>
      </c>
      <c r="B29" s="21" t="s">
        <v>61</v>
      </c>
      <c r="C29" s="6"/>
      <c r="D29" s="40">
        <f t="shared" si="4"/>
        <v>0</v>
      </c>
      <c r="E29" s="6"/>
      <c r="F29" s="4"/>
      <c r="G29" s="41">
        <f t="shared" si="5"/>
        <v>0</v>
      </c>
      <c r="H29" s="4"/>
      <c r="I29" s="41">
        <f t="shared" si="6"/>
        <v>0</v>
      </c>
      <c r="J29" s="7"/>
      <c r="K29" s="42">
        <f t="shared" si="7"/>
        <v>0</v>
      </c>
      <c r="L29" s="44">
        <f t="shared" si="0"/>
        <v>0</v>
      </c>
      <c r="M29" s="45">
        <f t="shared" si="1"/>
        <v>0</v>
      </c>
      <c r="N29" s="44">
        <f t="shared" si="2"/>
        <v>0</v>
      </c>
      <c r="O29" s="45">
        <f t="shared" si="3"/>
        <v>0</v>
      </c>
      <c r="P29" s="12"/>
    </row>
    <row r="30" spans="1:16" ht="15.6" x14ac:dyDescent="0.3">
      <c r="A30" s="1" t="s">
        <v>62</v>
      </c>
      <c r="B30" s="21" t="s">
        <v>63</v>
      </c>
      <c r="C30" s="6"/>
      <c r="D30" s="40">
        <f t="shared" si="4"/>
        <v>0</v>
      </c>
      <c r="E30" s="6"/>
      <c r="F30" s="4"/>
      <c r="G30" s="41">
        <f t="shared" si="5"/>
        <v>0</v>
      </c>
      <c r="H30" s="4"/>
      <c r="I30" s="41">
        <f t="shared" si="6"/>
        <v>0</v>
      </c>
      <c r="J30" s="7"/>
      <c r="K30" s="42">
        <f t="shared" si="7"/>
        <v>0</v>
      </c>
      <c r="L30" s="44">
        <f t="shared" si="0"/>
        <v>0</v>
      </c>
      <c r="M30" s="45">
        <f t="shared" si="1"/>
        <v>0</v>
      </c>
      <c r="N30" s="44">
        <f t="shared" si="2"/>
        <v>0</v>
      </c>
      <c r="O30" s="45">
        <f t="shared" si="3"/>
        <v>0</v>
      </c>
      <c r="P30" s="12"/>
    </row>
    <row r="31" spans="1:16" ht="15.6" x14ac:dyDescent="0.3">
      <c r="A31" s="1" t="s">
        <v>64</v>
      </c>
      <c r="B31" s="21" t="s">
        <v>65</v>
      </c>
      <c r="C31" s="6"/>
      <c r="D31" s="40">
        <f t="shared" si="4"/>
        <v>0</v>
      </c>
      <c r="E31" s="6"/>
      <c r="F31" s="4"/>
      <c r="G31" s="41">
        <f t="shared" si="5"/>
        <v>0</v>
      </c>
      <c r="H31" s="4"/>
      <c r="I31" s="41">
        <f t="shared" si="6"/>
        <v>0</v>
      </c>
      <c r="J31" s="7"/>
      <c r="K31" s="42">
        <f t="shared" si="7"/>
        <v>0</v>
      </c>
      <c r="L31" s="44">
        <f t="shared" si="0"/>
        <v>0</v>
      </c>
      <c r="M31" s="45">
        <f t="shared" si="1"/>
        <v>0</v>
      </c>
      <c r="N31" s="44">
        <f t="shared" si="2"/>
        <v>0</v>
      </c>
      <c r="O31" s="45">
        <f t="shared" si="3"/>
        <v>0</v>
      </c>
      <c r="P31" s="12"/>
    </row>
    <row r="32" spans="1:16" ht="15.6" x14ac:dyDescent="0.3">
      <c r="A32" s="1" t="s">
        <v>66</v>
      </c>
      <c r="B32" s="21" t="s">
        <v>67</v>
      </c>
      <c r="C32" s="6"/>
      <c r="D32" s="40">
        <f t="shared" si="4"/>
        <v>0</v>
      </c>
      <c r="E32" s="6"/>
      <c r="F32" s="4"/>
      <c r="G32" s="41">
        <f t="shared" si="5"/>
        <v>0</v>
      </c>
      <c r="H32" s="4"/>
      <c r="I32" s="41">
        <f t="shared" si="6"/>
        <v>0</v>
      </c>
      <c r="J32" s="7"/>
      <c r="K32" s="42">
        <f t="shared" si="7"/>
        <v>0</v>
      </c>
      <c r="L32" s="44">
        <f t="shared" si="0"/>
        <v>0</v>
      </c>
      <c r="M32" s="45">
        <f t="shared" si="1"/>
        <v>0</v>
      </c>
      <c r="N32" s="44">
        <f t="shared" si="2"/>
        <v>0</v>
      </c>
      <c r="O32" s="45">
        <f t="shared" si="3"/>
        <v>0</v>
      </c>
      <c r="P32" s="12"/>
    </row>
    <row r="33" spans="1:16" ht="15.6" x14ac:dyDescent="0.3">
      <c r="A33" s="1" t="s">
        <v>68</v>
      </c>
      <c r="B33" s="21" t="s">
        <v>69</v>
      </c>
      <c r="C33" s="6"/>
      <c r="D33" s="40">
        <f t="shared" si="4"/>
        <v>0</v>
      </c>
      <c r="E33" s="6"/>
      <c r="F33" s="4"/>
      <c r="G33" s="41">
        <f t="shared" si="5"/>
        <v>0</v>
      </c>
      <c r="H33" s="4"/>
      <c r="I33" s="41">
        <f t="shared" si="6"/>
        <v>0</v>
      </c>
      <c r="J33" s="7"/>
      <c r="K33" s="42">
        <f t="shared" si="7"/>
        <v>0</v>
      </c>
      <c r="L33" s="44">
        <f t="shared" si="0"/>
        <v>0</v>
      </c>
      <c r="M33" s="45">
        <f t="shared" si="1"/>
        <v>0</v>
      </c>
      <c r="N33" s="44">
        <f t="shared" si="2"/>
        <v>0</v>
      </c>
      <c r="O33" s="45">
        <f t="shared" si="3"/>
        <v>0</v>
      </c>
      <c r="P33" s="12"/>
    </row>
    <row r="34" spans="1:16" ht="15.6" x14ac:dyDescent="0.3">
      <c r="A34" s="1" t="s">
        <v>70</v>
      </c>
      <c r="B34" s="21" t="s">
        <v>71</v>
      </c>
      <c r="C34" s="6"/>
      <c r="D34" s="40">
        <f t="shared" si="4"/>
        <v>0</v>
      </c>
      <c r="E34" s="6"/>
      <c r="F34" s="4"/>
      <c r="G34" s="41">
        <f t="shared" si="5"/>
        <v>0</v>
      </c>
      <c r="H34" s="4"/>
      <c r="I34" s="41">
        <f t="shared" si="6"/>
        <v>0</v>
      </c>
      <c r="J34" s="7"/>
      <c r="K34" s="42">
        <f t="shared" si="7"/>
        <v>0</v>
      </c>
      <c r="L34" s="44">
        <f t="shared" si="0"/>
        <v>0</v>
      </c>
      <c r="M34" s="45">
        <f t="shared" si="1"/>
        <v>0</v>
      </c>
      <c r="N34" s="44">
        <f t="shared" si="2"/>
        <v>0</v>
      </c>
      <c r="O34" s="45">
        <f t="shared" si="3"/>
        <v>0</v>
      </c>
      <c r="P34" s="12"/>
    </row>
    <row r="35" spans="1:16" ht="15.6" x14ac:dyDescent="0.3">
      <c r="A35" s="1" t="s">
        <v>72</v>
      </c>
      <c r="B35" s="21" t="s">
        <v>73</v>
      </c>
      <c r="C35" s="6"/>
      <c r="D35" s="40">
        <f t="shared" si="4"/>
        <v>0</v>
      </c>
      <c r="E35" s="6"/>
      <c r="F35" s="4"/>
      <c r="G35" s="41">
        <f t="shared" si="5"/>
        <v>0</v>
      </c>
      <c r="H35" s="4"/>
      <c r="I35" s="41">
        <f t="shared" si="6"/>
        <v>0</v>
      </c>
      <c r="J35" s="7"/>
      <c r="K35" s="42">
        <f t="shared" si="7"/>
        <v>0</v>
      </c>
      <c r="L35" s="44">
        <f t="shared" si="0"/>
        <v>0</v>
      </c>
      <c r="M35" s="45">
        <f t="shared" si="1"/>
        <v>0</v>
      </c>
      <c r="N35" s="44">
        <f t="shared" si="2"/>
        <v>0</v>
      </c>
      <c r="O35" s="45">
        <f t="shared" si="3"/>
        <v>0</v>
      </c>
      <c r="P35" s="12"/>
    </row>
    <row r="36" spans="1:16" ht="15.6" x14ac:dyDescent="0.3">
      <c r="A36" s="13" t="s">
        <v>74</v>
      </c>
      <c r="B36" s="21" t="s">
        <v>75</v>
      </c>
      <c r="C36" s="6"/>
      <c r="D36" s="40">
        <f t="shared" si="4"/>
        <v>0</v>
      </c>
      <c r="E36" s="6"/>
      <c r="F36" s="4"/>
      <c r="G36" s="41">
        <f t="shared" si="5"/>
        <v>0</v>
      </c>
      <c r="H36" s="4"/>
      <c r="I36" s="41">
        <f t="shared" si="6"/>
        <v>0</v>
      </c>
      <c r="J36" s="7"/>
      <c r="K36" s="42">
        <f t="shared" si="7"/>
        <v>0</v>
      </c>
      <c r="L36" s="44">
        <f t="shared" si="0"/>
        <v>0</v>
      </c>
      <c r="M36" s="45">
        <f t="shared" si="1"/>
        <v>0</v>
      </c>
      <c r="N36" s="44">
        <f t="shared" si="2"/>
        <v>0</v>
      </c>
      <c r="O36" s="45">
        <f t="shared" si="3"/>
        <v>0</v>
      </c>
      <c r="P36" s="12"/>
    </row>
    <row r="37" spans="1:16" ht="15.6" x14ac:dyDescent="0.3">
      <c r="A37" s="1" t="s">
        <v>76</v>
      </c>
      <c r="B37" s="21" t="s">
        <v>77</v>
      </c>
      <c r="C37" s="6"/>
      <c r="D37" s="40">
        <f t="shared" si="4"/>
        <v>0</v>
      </c>
      <c r="E37" s="6"/>
      <c r="F37" s="4"/>
      <c r="G37" s="41">
        <f t="shared" si="5"/>
        <v>0</v>
      </c>
      <c r="H37" s="4"/>
      <c r="I37" s="41">
        <f t="shared" si="6"/>
        <v>0</v>
      </c>
      <c r="J37" s="7"/>
      <c r="K37" s="42">
        <f t="shared" si="7"/>
        <v>0</v>
      </c>
      <c r="L37" s="44">
        <f t="shared" si="0"/>
        <v>0</v>
      </c>
      <c r="M37" s="45">
        <f t="shared" si="1"/>
        <v>0</v>
      </c>
      <c r="N37" s="44">
        <f t="shared" si="2"/>
        <v>0</v>
      </c>
      <c r="O37" s="45">
        <f t="shared" si="3"/>
        <v>0</v>
      </c>
      <c r="P37" s="12"/>
    </row>
    <row r="38" spans="1:16" ht="15.6" x14ac:dyDescent="0.3">
      <c r="A38" s="12" t="s">
        <v>78</v>
      </c>
      <c r="B38" s="21" t="s">
        <v>79</v>
      </c>
      <c r="C38" s="6"/>
      <c r="D38" s="40">
        <f t="shared" si="4"/>
        <v>0</v>
      </c>
      <c r="E38" s="6"/>
      <c r="F38" s="4"/>
      <c r="G38" s="41">
        <f t="shared" si="5"/>
        <v>0</v>
      </c>
      <c r="H38" s="4"/>
      <c r="I38" s="41">
        <f t="shared" si="6"/>
        <v>0</v>
      </c>
      <c r="J38" s="7"/>
      <c r="K38" s="42">
        <f t="shared" si="7"/>
        <v>0</v>
      </c>
      <c r="L38" s="44">
        <f t="shared" si="0"/>
        <v>0</v>
      </c>
      <c r="M38" s="45">
        <f t="shared" si="1"/>
        <v>0</v>
      </c>
      <c r="N38" s="44">
        <f t="shared" si="2"/>
        <v>0</v>
      </c>
      <c r="O38" s="45">
        <f t="shared" si="3"/>
        <v>0</v>
      </c>
      <c r="P38" s="12"/>
    </row>
    <row r="39" spans="1:16" ht="15.6" x14ac:dyDescent="0.3">
      <c r="A39" s="1" t="s">
        <v>80</v>
      </c>
      <c r="B39" s="21" t="s">
        <v>81</v>
      </c>
      <c r="C39" s="6"/>
      <c r="D39" s="40">
        <f t="shared" si="4"/>
        <v>0</v>
      </c>
      <c r="E39" s="6"/>
      <c r="F39" s="4"/>
      <c r="G39" s="41">
        <f t="shared" si="5"/>
        <v>0</v>
      </c>
      <c r="H39" s="4"/>
      <c r="I39" s="41">
        <f t="shared" si="6"/>
        <v>0</v>
      </c>
      <c r="J39" s="7"/>
      <c r="K39" s="42">
        <f t="shared" si="7"/>
        <v>0</v>
      </c>
      <c r="L39" s="44">
        <f t="shared" si="0"/>
        <v>0</v>
      </c>
      <c r="M39" s="45">
        <f t="shared" si="1"/>
        <v>0</v>
      </c>
      <c r="N39" s="44">
        <f t="shared" si="2"/>
        <v>0</v>
      </c>
      <c r="O39" s="45">
        <f t="shared" si="3"/>
        <v>0</v>
      </c>
      <c r="P39" s="12"/>
    </row>
    <row r="40" spans="1:16" ht="15.6" x14ac:dyDescent="0.3">
      <c r="A40" s="12" t="s">
        <v>82</v>
      </c>
      <c r="B40" s="21" t="s">
        <v>83</v>
      </c>
      <c r="C40" s="6"/>
      <c r="D40" s="40">
        <f t="shared" si="4"/>
        <v>0</v>
      </c>
      <c r="E40" s="6"/>
      <c r="F40" s="4"/>
      <c r="G40" s="41">
        <f t="shared" si="5"/>
        <v>0</v>
      </c>
      <c r="H40" s="4"/>
      <c r="I40" s="41">
        <f t="shared" si="6"/>
        <v>0</v>
      </c>
      <c r="J40" s="7"/>
      <c r="K40" s="42">
        <f t="shared" si="7"/>
        <v>0</v>
      </c>
      <c r="L40" s="44">
        <f t="shared" si="0"/>
        <v>0</v>
      </c>
      <c r="M40" s="45">
        <f t="shared" si="1"/>
        <v>0</v>
      </c>
      <c r="N40" s="44">
        <f t="shared" si="2"/>
        <v>0</v>
      </c>
      <c r="O40" s="45">
        <f t="shared" si="3"/>
        <v>0</v>
      </c>
      <c r="P40" s="12"/>
    </row>
    <row r="41" spans="1:16" ht="15.6" x14ac:dyDescent="0.3">
      <c r="A41" s="1" t="s">
        <v>84</v>
      </c>
      <c r="B41" s="21" t="s">
        <v>85</v>
      </c>
      <c r="C41" s="6"/>
      <c r="D41" s="40">
        <f t="shared" si="4"/>
        <v>0</v>
      </c>
      <c r="E41" s="6"/>
      <c r="F41" s="4"/>
      <c r="G41" s="41">
        <f t="shared" si="5"/>
        <v>0</v>
      </c>
      <c r="H41" s="4"/>
      <c r="I41" s="41">
        <f t="shared" si="6"/>
        <v>0</v>
      </c>
      <c r="J41" s="7"/>
      <c r="K41" s="42">
        <f t="shared" si="7"/>
        <v>0</v>
      </c>
      <c r="L41" s="44">
        <f t="shared" si="0"/>
        <v>0</v>
      </c>
      <c r="M41" s="45">
        <f t="shared" si="1"/>
        <v>0</v>
      </c>
      <c r="N41" s="44">
        <f t="shared" si="2"/>
        <v>0</v>
      </c>
      <c r="O41" s="45">
        <f t="shared" si="3"/>
        <v>0</v>
      </c>
      <c r="P41" s="12"/>
    </row>
    <row r="42" spans="1:16" ht="15.6" x14ac:dyDescent="0.3">
      <c r="A42" s="1" t="s">
        <v>86</v>
      </c>
      <c r="B42" s="21" t="s">
        <v>87</v>
      </c>
      <c r="C42" s="6"/>
      <c r="D42" s="40">
        <f t="shared" si="4"/>
        <v>0</v>
      </c>
      <c r="E42" s="6"/>
      <c r="F42" s="4"/>
      <c r="G42" s="41">
        <f t="shared" si="5"/>
        <v>0</v>
      </c>
      <c r="H42" s="4"/>
      <c r="I42" s="41">
        <f t="shared" si="6"/>
        <v>0</v>
      </c>
      <c r="J42" s="7"/>
      <c r="K42" s="42">
        <f t="shared" si="7"/>
        <v>0</v>
      </c>
      <c r="L42" s="44">
        <f t="shared" si="0"/>
        <v>0</v>
      </c>
      <c r="M42" s="45">
        <f t="shared" si="1"/>
        <v>0</v>
      </c>
      <c r="N42" s="44">
        <f t="shared" si="2"/>
        <v>0</v>
      </c>
      <c r="O42" s="45">
        <f t="shared" si="3"/>
        <v>0</v>
      </c>
      <c r="P42" s="12"/>
    </row>
    <row r="43" spans="1:16" ht="15.6" x14ac:dyDescent="0.3">
      <c r="A43" s="1" t="s">
        <v>88</v>
      </c>
      <c r="B43" s="21" t="s">
        <v>89</v>
      </c>
      <c r="C43" s="6"/>
      <c r="D43" s="40">
        <f t="shared" si="4"/>
        <v>0</v>
      </c>
      <c r="E43" s="6"/>
      <c r="F43" s="4"/>
      <c r="G43" s="41">
        <f t="shared" si="5"/>
        <v>0</v>
      </c>
      <c r="H43" s="4"/>
      <c r="I43" s="41">
        <f t="shared" si="6"/>
        <v>0</v>
      </c>
      <c r="J43" s="7"/>
      <c r="K43" s="42">
        <f t="shared" si="7"/>
        <v>0</v>
      </c>
      <c r="L43" s="44">
        <f t="shared" si="0"/>
        <v>0</v>
      </c>
      <c r="M43" s="45">
        <f t="shared" si="1"/>
        <v>0</v>
      </c>
      <c r="N43" s="44">
        <f t="shared" si="2"/>
        <v>0</v>
      </c>
      <c r="O43" s="45">
        <f t="shared" si="3"/>
        <v>0</v>
      </c>
      <c r="P43" s="12"/>
    </row>
    <row r="44" spans="1:16" ht="15.6" x14ac:dyDescent="0.3">
      <c r="A44" s="1" t="s">
        <v>90</v>
      </c>
      <c r="B44" s="21" t="s">
        <v>91</v>
      </c>
      <c r="C44" s="6"/>
      <c r="D44" s="40">
        <f t="shared" si="4"/>
        <v>0</v>
      </c>
      <c r="E44" s="6"/>
      <c r="F44" s="4"/>
      <c r="G44" s="41">
        <f t="shared" si="5"/>
        <v>0</v>
      </c>
      <c r="H44" s="4"/>
      <c r="I44" s="41">
        <f t="shared" si="6"/>
        <v>0</v>
      </c>
      <c r="J44" s="7"/>
      <c r="K44" s="42">
        <f t="shared" si="7"/>
        <v>0</v>
      </c>
      <c r="L44" s="44">
        <f t="shared" si="0"/>
        <v>0</v>
      </c>
      <c r="M44" s="45">
        <f t="shared" si="1"/>
        <v>0</v>
      </c>
      <c r="N44" s="44">
        <f t="shared" si="2"/>
        <v>0</v>
      </c>
      <c r="O44" s="45">
        <f t="shared" si="3"/>
        <v>0</v>
      </c>
      <c r="P44" s="12"/>
    </row>
    <row r="45" spans="1:16" ht="15.6" x14ac:dyDescent="0.3">
      <c r="A45" s="1" t="s">
        <v>92</v>
      </c>
      <c r="B45" s="21" t="s">
        <v>93</v>
      </c>
      <c r="C45" s="6"/>
      <c r="D45" s="40">
        <f t="shared" si="4"/>
        <v>0</v>
      </c>
      <c r="E45" s="6"/>
      <c r="F45" s="4"/>
      <c r="G45" s="41">
        <f t="shared" si="5"/>
        <v>0</v>
      </c>
      <c r="H45" s="4"/>
      <c r="I45" s="41">
        <f t="shared" si="6"/>
        <v>0</v>
      </c>
      <c r="J45" s="7"/>
      <c r="K45" s="42">
        <f t="shared" si="7"/>
        <v>0</v>
      </c>
      <c r="L45" s="44">
        <f t="shared" si="0"/>
        <v>0</v>
      </c>
      <c r="M45" s="45">
        <f t="shared" si="1"/>
        <v>0</v>
      </c>
      <c r="N45" s="44">
        <f t="shared" si="2"/>
        <v>0</v>
      </c>
      <c r="O45" s="45">
        <f t="shared" si="3"/>
        <v>0</v>
      </c>
      <c r="P45" s="12"/>
    </row>
    <row r="46" spans="1:16" ht="15.6" x14ac:dyDescent="0.3">
      <c r="A46" s="1" t="s">
        <v>94</v>
      </c>
      <c r="B46" s="21" t="s">
        <v>95</v>
      </c>
      <c r="C46" s="6"/>
      <c r="D46" s="40">
        <f t="shared" si="4"/>
        <v>0</v>
      </c>
      <c r="E46" s="6"/>
      <c r="F46" s="4"/>
      <c r="G46" s="41">
        <f t="shared" si="5"/>
        <v>0</v>
      </c>
      <c r="H46" s="4"/>
      <c r="I46" s="41">
        <f t="shared" si="6"/>
        <v>0</v>
      </c>
      <c r="J46" s="7"/>
      <c r="K46" s="42">
        <f t="shared" si="7"/>
        <v>0</v>
      </c>
      <c r="L46" s="44">
        <f t="shared" si="0"/>
        <v>0</v>
      </c>
      <c r="M46" s="45">
        <f t="shared" si="1"/>
        <v>0</v>
      </c>
      <c r="N46" s="44">
        <f t="shared" si="2"/>
        <v>0</v>
      </c>
      <c r="O46" s="45">
        <f t="shared" si="3"/>
        <v>0</v>
      </c>
      <c r="P46" s="12"/>
    </row>
    <row r="47" spans="1:16" ht="15.6" x14ac:dyDescent="0.3">
      <c r="A47" s="14" t="s">
        <v>96</v>
      </c>
      <c r="B47" s="22" t="s">
        <v>97</v>
      </c>
      <c r="C47" s="65">
        <f>C3-C6</f>
        <v>0</v>
      </c>
      <c r="D47" s="55"/>
      <c r="E47" s="2">
        <f>E3-E6</f>
        <v>0</v>
      </c>
      <c r="F47" s="56">
        <f>F3-F6</f>
        <v>0</v>
      </c>
      <c r="G47" s="55"/>
      <c r="H47" s="56">
        <f>H3-H6</f>
        <v>0</v>
      </c>
      <c r="I47" s="55"/>
      <c r="J47" s="64">
        <f>J3-J6</f>
        <v>0</v>
      </c>
      <c r="K47" s="55"/>
      <c r="L47" s="44">
        <f t="shared" ref="L47" si="8">H47-F47</f>
        <v>0</v>
      </c>
      <c r="M47" s="45">
        <f t="shared" si="1"/>
        <v>0</v>
      </c>
      <c r="N47" s="44">
        <f t="shared" ref="N47" si="9">H47-C47</f>
        <v>0</v>
      </c>
      <c r="O47" s="45">
        <f t="shared" si="3"/>
        <v>0</v>
      </c>
      <c r="P47" s="12"/>
    </row>
    <row r="48" spans="1:16" x14ac:dyDescent="0.3">
      <c r="A48" s="15" t="s">
        <v>98</v>
      </c>
      <c r="B48" s="22" t="s">
        <v>99</v>
      </c>
      <c r="C48" s="57">
        <f>IFERROR(C47/C3,0)</f>
        <v>0</v>
      </c>
      <c r="D48" s="55"/>
      <c r="E48" s="39">
        <f>IFERROR(E47/E3,0)</f>
        <v>0</v>
      </c>
      <c r="F48" s="63">
        <f>IFERROR(F47/F3,0)</f>
        <v>0</v>
      </c>
      <c r="G48" s="55"/>
      <c r="H48" s="63">
        <f>IFERROR(H47/H3,0)</f>
        <v>0</v>
      </c>
      <c r="I48" s="55"/>
      <c r="J48" s="66">
        <f>IFERROR(J47/J3,0)</f>
        <v>0</v>
      </c>
      <c r="K48" s="55"/>
    </row>
    <row r="50" spans="1:16" ht="66" x14ac:dyDescent="0.3">
      <c r="A50" s="48" t="s">
        <v>0</v>
      </c>
      <c r="B50" s="58" t="s">
        <v>100</v>
      </c>
      <c r="C50" s="60" t="s">
        <v>2</v>
      </c>
      <c r="D50" s="55"/>
      <c r="E50" s="50" t="s">
        <v>3</v>
      </c>
      <c r="F50" s="54" t="s">
        <v>4</v>
      </c>
      <c r="G50" s="55"/>
      <c r="H50" s="54" t="s">
        <v>5</v>
      </c>
      <c r="I50" s="55"/>
      <c r="J50" s="61" t="s">
        <v>6</v>
      </c>
      <c r="K50" s="62"/>
      <c r="L50" s="35" t="s">
        <v>104</v>
      </c>
      <c r="M50" s="36" t="s">
        <v>105</v>
      </c>
      <c r="N50" s="35" t="s">
        <v>106</v>
      </c>
      <c r="O50" s="36" t="s">
        <v>107</v>
      </c>
      <c r="P50" s="12" t="s">
        <v>103</v>
      </c>
    </row>
    <row r="51" spans="1:16" ht="27.6" x14ac:dyDescent="0.3">
      <c r="A51" s="49"/>
      <c r="B51" s="59"/>
      <c r="C51" s="24">
        <v>46204</v>
      </c>
      <c r="D51" s="27" t="s">
        <v>7</v>
      </c>
      <c r="E51" s="51"/>
      <c r="F51" s="25">
        <v>46235</v>
      </c>
      <c r="G51" s="31" t="s">
        <v>7</v>
      </c>
      <c r="H51" s="25">
        <v>46235</v>
      </c>
      <c r="I51" s="31" t="s">
        <v>7</v>
      </c>
      <c r="J51" s="26">
        <v>46266</v>
      </c>
      <c r="K51" s="34" t="s">
        <v>7</v>
      </c>
      <c r="L51" s="52">
        <f>F51</f>
        <v>46235</v>
      </c>
      <c r="M51" s="53"/>
      <c r="N51" s="52">
        <f>F51</f>
        <v>46235</v>
      </c>
      <c r="O51" s="53"/>
      <c r="P51" s="12"/>
    </row>
    <row r="52" spans="1:16" ht="15.6" x14ac:dyDescent="0.3">
      <c r="A52" s="10" t="s">
        <v>8</v>
      </c>
      <c r="B52" s="16" t="s">
        <v>9</v>
      </c>
      <c r="C52" s="2">
        <f>SUM(C53:C54)</f>
        <v>0</v>
      </c>
      <c r="D52" s="28"/>
      <c r="E52" s="2">
        <f>SUM(E53:E54)</f>
        <v>0</v>
      </c>
      <c r="F52" s="3">
        <f>SUM(F53:F54)</f>
        <v>0</v>
      </c>
      <c r="G52" s="32"/>
      <c r="H52" s="3">
        <f>SUM(H53:H54)</f>
        <v>0</v>
      </c>
      <c r="I52" s="33"/>
      <c r="J52" s="5">
        <f>SUM(J53:J54)</f>
        <v>0</v>
      </c>
      <c r="K52" s="43"/>
      <c r="L52" s="44">
        <f>H52-F52</f>
        <v>0</v>
      </c>
      <c r="M52" s="45">
        <f>IFERROR(L52/F52,0)</f>
        <v>0</v>
      </c>
      <c r="N52" s="44">
        <f>H52-C52</f>
        <v>0</v>
      </c>
      <c r="O52" s="45">
        <f>IFERROR(N52/C52,0)</f>
        <v>0</v>
      </c>
      <c r="P52" s="37"/>
    </row>
    <row r="53" spans="1:16" ht="15.6" x14ac:dyDescent="0.3">
      <c r="A53" s="1" t="s">
        <v>10</v>
      </c>
      <c r="B53" s="17" t="s">
        <v>11</v>
      </c>
      <c r="C53" s="6"/>
      <c r="D53" s="29"/>
      <c r="E53" s="6"/>
      <c r="F53" s="4"/>
      <c r="G53" s="33"/>
      <c r="H53" s="4"/>
      <c r="I53" s="33"/>
      <c r="J53" s="7"/>
      <c r="K53" s="46"/>
      <c r="L53" s="44">
        <f t="shared" ref="L53:L96" si="10">H53-F53</f>
        <v>0</v>
      </c>
      <c r="M53" s="45">
        <f t="shared" ref="M53:M96" si="11">IFERROR(L53/F53,0)</f>
        <v>0</v>
      </c>
      <c r="N53" s="44">
        <f t="shared" ref="N53:N96" si="12">H53-C53</f>
        <v>0</v>
      </c>
      <c r="O53" s="45">
        <f t="shared" ref="O53:O96" si="13">IFERROR(N53/C53,0)</f>
        <v>0</v>
      </c>
      <c r="P53" s="37"/>
    </row>
    <row r="54" spans="1:16" ht="15.6" x14ac:dyDescent="0.3">
      <c r="A54" s="1" t="s">
        <v>12</v>
      </c>
      <c r="B54" s="17" t="s">
        <v>13</v>
      </c>
      <c r="C54" s="6"/>
      <c r="D54" s="29"/>
      <c r="E54" s="6"/>
      <c r="F54" s="4"/>
      <c r="G54" s="33"/>
      <c r="H54" s="4"/>
      <c r="I54" s="33"/>
      <c r="J54" s="7"/>
      <c r="K54" s="46"/>
      <c r="L54" s="44">
        <f t="shared" si="10"/>
        <v>0</v>
      </c>
      <c r="M54" s="45">
        <f t="shared" si="11"/>
        <v>0</v>
      </c>
      <c r="N54" s="44">
        <f t="shared" si="12"/>
        <v>0</v>
      </c>
      <c r="O54" s="45">
        <f t="shared" si="13"/>
        <v>0</v>
      </c>
      <c r="P54" s="38"/>
    </row>
    <row r="55" spans="1:16" ht="15.6" x14ac:dyDescent="0.3">
      <c r="A55" s="10" t="s">
        <v>14</v>
      </c>
      <c r="B55" s="18" t="s">
        <v>15</v>
      </c>
      <c r="C55" s="2">
        <f>C56+C59+C60+C61+C70+C71+C72+C73</f>
        <v>0</v>
      </c>
      <c r="D55" s="28"/>
      <c r="E55" s="2">
        <f>E56+E59+E60+E61+E70+E71+E72+E73</f>
        <v>0</v>
      </c>
      <c r="F55" s="3">
        <f>F56+F59+F60+F61+F70+F71+F72+F73</f>
        <v>0</v>
      </c>
      <c r="G55" s="33"/>
      <c r="H55" s="3">
        <f>H56+H59+H60+H61+H70+H71+H72+H73</f>
        <v>0</v>
      </c>
      <c r="I55" s="33"/>
      <c r="J55" s="5">
        <f>J56+J59+J60+J61+J70+J71+J72+J73</f>
        <v>0</v>
      </c>
      <c r="K55" s="47"/>
      <c r="L55" s="44">
        <f t="shared" si="10"/>
        <v>0</v>
      </c>
      <c r="M55" s="45">
        <f t="shared" si="11"/>
        <v>0</v>
      </c>
      <c r="N55" s="44">
        <f t="shared" si="12"/>
        <v>0</v>
      </c>
      <c r="O55" s="45">
        <f t="shared" si="13"/>
        <v>0</v>
      </c>
      <c r="P55" s="12"/>
    </row>
    <row r="56" spans="1:16" ht="15.6" x14ac:dyDescent="0.3">
      <c r="A56" s="11" t="s">
        <v>16</v>
      </c>
      <c r="B56" s="18" t="s">
        <v>17</v>
      </c>
      <c r="C56" s="6">
        <f>C57+C58</f>
        <v>0</v>
      </c>
      <c r="D56" s="40">
        <f>IFERROR(C56/$C$55,0)</f>
        <v>0</v>
      </c>
      <c r="E56" s="6">
        <f>E58+E57</f>
        <v>0</v>
      </c>
      <c r="F56" s="4">
        <f>F58+F57</f>
        <v>0</v>
      </c>
      <c r="G56" s="41">
        <f>IFERROR(F56/$F$55,0)</f>
        <v>0</v>
      </c>
      <c r="H56" s="4">
        <f>H57+H58</f>
        <v>0</v>
      </c>
      <c r="I56" s="41">
        <f>IFERROR(H56/$H$55,0)</f>
        <v>0</v>
      </c>
      <c r="J56" s="7">
        <f>J57+J58</f>
        <v>0</v>
      </c>
      <c r="K56" s="42">
        <f>IFERROR(J56/$J$55,0)</f>
        <v>0</v>
      </c>
      <c r="L56" s="44">
        <f t="shared" si="10"/>
        <v>0</v>
      </c>
      <c r="M56" s="45">
        <f t="shared" si="11"/>
        <v>0</v>
      </c>
      <c r="N56" s="44">
        <f t="shared" si="12"/>
        <v>0</v>
      </c>
      <c r="O56" s="45">
        <f t="shared" si="13"/>
        <v>0</v>
      </c>
      <c r="P56" s="12"/>
    </row>
    <row r="57" spans="1:16" ht="15.6" x14ac:dyDescent="0.3">
      <c r="A57" s="1" t="s">
        <v>18</v>
      </c>
      <c r="B57" s="19" t="s">
        <v>19</v>
      </c>
      <c r="C57" s="6"/>
      <c r="D57" s="40">
        <f>IFERROR(C57/$C$55,0)</f>
        <v>0</v>
      </c>
      <c r="E57" s="6"/>
      <c r="F57" s="4"/>
      <c r="G57" s="41">
        <f>IFERROR(F57/$F$55,0)</f>
        <v>0</v>
      </c>
      <c r="H57" s="4"/>
      <c r="I57" s="41">
        <f>IFERROR(H57/$H$55,0)</f>
        <v>0</v>
      </c>
      <c r="J57" s="7"/>
      <c r="K57" s="42">
        <f>IFERROR(J57/$J$55,0)</f>
        <v>0</v>
      </c>
      <c r="L57" s="44">
        <f t="shared" si="10"/>
        <v>0</v>
      </c>
      <c r="M57" s="45">
        <f t="shared" si="11"/>
        <v>0</v>
      </c>
      <c r="N57" s="44">
        <f t="shared" si="12"/>
        <v>0</v>
      </c>
      <c r="O57" s="45">
        <f t="shared" si="13"/>
        <v>0</v>
      </c>
      <c r="P57" s="12"/>
    </row>
    <row r="58" spans="1:16" ht="15.6" x14ac:dyDescent="0.3">
      <c r="A58" s="12" t="s">
        <v>20</v>
      </c>
      <c r="B58" s="19" t="s">
        <v>21</v>
      </c>
      <c r="C58" s="6"/>
      <c r="D58" s="40">
        <f>IFERROR(C58/$C$55,0)</f>
        <v>0</v>
      </c>
      <c r="E58" s="6"/>
      <c r="F58" s="4"/>
      <c r="G58" s="41">
        <f>IFERROR(F58/$F$55,0)</f>
        <v>0</v>
      </c>
      <c r="H58" s="4"/>
      <c r="I58" s="41">
        <f>IFERROR(H58/$H$55,0)</f>
        <v>0</v>
      </c>
      <c r="J58" s="7"/>
      <c r="K58" s="42">
        <f>IFERROR(J58/$J$55,0)</f>
        <v>0</v>
      </c>
      <c r="L58" s="44">
        <f t="shared" si="10"/>
        <v>0</v>
      </c>
      <c r="M58" s="45">
        <f t="shared" si="11"/>
        <v>0</v>
      </c>
      <c r="N58" s="44">
        <f t="shared" si="12"/>
        <v>0</v>
      </c>
      <c r="O58" s="45">
        <f t="shared" si="13"/>
        <v>0</v>
      </c>
      <c r="P58" s="12"/>
    </row>
    <row r="59" spans="1:16" ht="15.6" x14ac:dyDescent="0.3">
      <c r="A59" s="1" t="s">
        <v>22</v>
      </c>
      <c r="B59" s="18" t="s">
        <v>23</v>
      </c>
      <c r="C59" s="6"/>
      <c r="D59" s="40">
        <f>IFERROR(C59/$C$55,0)</f>
        <v>0</v>
      </c>
      <c r="E59" s="6"/>
      <c r="F59" s="4"/>
      <c r="G59" s="41">
        <f>IFERROR(F59/$F$55,0)</f>
        <v>0</v>
      </c>
      <c r="H59" s="4"/>
      <c r="I59" s="41">
        <f>IFERROR(H59/$H$55,0)</f>
        <v>0</v>
      </c>
      <c r="J59" s="7"/>
      <c r="K59" s="42">
        <f>IFERROR(J59/$J$55,0)</f>
        <v>0</v>
      </c>
      <c r="L59" s="44">
        <f t="shared" si="10"/>
        <v>0</v>
      </c>
      <c r="M59" s="45">
        <f t="shared" si="11"/>
        <v>0</v>
      </c>
      <c r="N59" s="44">
        <f t="shared" si="12"/>
        <v>0</v>
      </c>
      <c r="O59" s="45">
        <f t="shared" si="13"/>
        <v>0</v>
      </c>
      <c r="P59" s="12"/>
    </row>
    <row r="60" spans="1:16" ht="15.6" x14ac:dyDescent="0.3">
      <c r="A60" s="1" t="s">
        <v>24</v>
      </c>
      <c r="B60" s="18" t="s">
        <v>25</v>
      </c>
      <c r="C60" s="6"/>
      <c r="D60" s="40">
        <f>IFERROR(C60/$C$55,0)</f>
        <v>0</v>
      </c>
      <c r="E60" s="6"/>
      <c r="F60" s="4"/>
      <c r="G60" s="41">
        <f>IFERROR(F60/$F$55,0)</f>
        <v>0</v>
      </c>
      <c r="H60" s="4"/>
      <c r="I60" s="41">
        <f>IFERROR(H60/$H$55,0)</f>
        <v>0</v>
      </c>
      <c r="J60" s="7"/>
      <c r="K60" s="42">
        <f>IFERROR(J60/$J$55,0)</f>
        <v>0</v>
      </c>
      <c r="L60" s="44">
        <f t="shared" si="10"/>
        <v>0</v>
      </c>
      <c r="M60" s="45">
        <f t="shared" si="11"/>
        <v>0</v>
      </c>
      <c r="N60" s="44">
        <f t="shared" si="12"/>
        <v>0</v>
      </c>
      <c r="O60" s="45">
        <f t="shared" si="13"/>
        <v>0</v>
      </c>
      <c r="P60" s="12"/>
    </row>
    <row r="61" spans="1:16" ht="15.6" x14ac:dyDescent="0.3">
      <c r="A61" s="1" t="s">
        <v>26</v>
      </c>
      <c r="B61" s="18" t="s">
        <v>27</v>
      </c>
      <c r="C61" s="6">
        <f>SUM(C62:C69)</f>
        <v>0</v>
      </c>
      <c r="D61" s="40">
        <f>IFERROR(C61/$C$55,0)</f>
        <v>0</v>
      </c>
      <c r="E61" s="6">
        <f>SUM(E62:E69)</f>
        <v>0</v>
      </c>
      <c r="F61" s="4">
        <f>SUM(F62:F69)</f>
        <v>0</v>
      </c>
      <c r="G61" s="41">
        <f>IFERROR(F61/$F$55,0)</f>
        <v>0</v>
      </c>
      <c r="H61" s="4">
        <f>SUM(H62:H69)</f>
        <v>0</v>
      </c>
      <c r="I61" s="41">
        <f>IFERROR(H61/$H$55,0)</f>
        <v>0</v>
      </c>
      <c r="J61" s="7">
        <f>SUM(J62:J69)</f>
        <v>0</v>
      </c>
      <c r="K61" s="42">
        <f>IFERROR(J61/$J$55,0)</f>
        <v>0</v>
      </c>
      <c r="L61" s="44">
        <f t="shared" si="10"/>
        <v>0</v>
      </c>
      <c r="M61" s="45">
        <f t="shared" si="11"/>
        <v>0</v>
      </c>
      <c r="N61" s="44">
        <f t="shared" si="12"/>
        <v>0</v>
      </c>
      <c r="O61" s="45">
        <f t="shared" si="13"/>
        <v>0</v>
      </c>
      <c r="P61" s="12"/>
    </row>
    <row r="62" spans="1:16" ht="15.6" x14ac:dyDescent="0.3">
      <c r="A62" s="1" t="s">
        <v>28</v>
      </c>
      <c r="B62" s="20" t="s">
        <v>29</v>
      </c>
      <c r="C62" s="6"/>
      <c r="D62" s="40">
        <f>IFERROR(C62/$C$55,0)</f>
        <v>0</v>
      </c>
      <c r="E62" s="6"/>
      <c r="F62" s="4"/>
      <c r="G62" s="41">
        <f>IFERROR(F62/$F$55,0)</f>
        <v>0</v>
      </c>
      <c r="H62" s="4"/>
      <c r="I62" s="41">
        <f>IFERROR(H62/$H$55,0)</f>
        <v>0</v>
      </c>
      <c r="J62" s="7"/>
      <c r="K62" s="42">
        <f>IFERROR(J62/$J$55,0)</f>
        <v>0</v>
      </c>
      <c r="L62" s="44">
        <f t="shared" si="10"/>
        <v>0</v>
      </c>
      <c r="M62" s="45">
        <f t="shared" si="11"/>
        <v>0</v>
      </c>
      <c r="N62" s="44">
        <f t="shared" si="12"/>
        <v>0</v>
      </c>
      <c r="O62" s="45">
        <f t="shared" si="13"/>
        <v>0</v>
      </c>
      <c r="P62" s="12"/>
    </row>
    <row r="63" spans="1:16" ht="15.6" x14ac:dyDescent="0.3">
      <c r="A63" s="1" t="s">
        <v>30</v>
      </c>
      <c r="B63" s="20" t="s">
        <v>31</v>
      </c>
      <c r="C63" s="6"/>
      <c r="D63" s="40">
        <f>IFERROR(C63/$C$55,0)</f>
        <v>0</v>
      </c>
      <c r="E63" s="6"/>
      <c r="F63" s="4"/>
      <c r="G63" s="41">
        <f>IFERROR(F63/$F$55,0)</f>
        <v>0</v>
      </c>
      <c r="H63" s="4"/>
      <c r="I63" s="41">
        <f>IFERROR(H63/$H$55,0)</f>
        <v>0</v>
      </c>
      <c r="J63" s="7"/>
      <c r="K63" s="42">
        <f>IFERROR(J63/$J$55,0)</f>
        <v>0</v>
      </c>
      <c r="L63" s="44">
        <f t="shared" si="10"/>
        <v>0</v>
      </c>
      <c r="M63" s="45">
        <f t="shared" si="11"/>
        <v>0</v>
      </c>
      <c r="N63" s="44">
        <f t="shared" si="12"/>
        <v>0</v>
      </c>
      <c r="O63" s="45">
        <f t="shared" si="13"/>
        <v>0</v>
      </c>
      <c r="P63" s="12"/>
    </row>
    <row r="64" spans="1:16" ht="15.6" x14ac:dyDescent="0.3">
      <c r="A64" s="1" t="s">
        <v>32</v>
      </c>
      <c r="B64" s="20" t="s">
        <v>33</v>
      </c>
      <c r="C64" s="6"/>
      <c r="D64" s="40">
        <f>IFERROR(C64/$C$55,0)</f>
        <v>0</v>
      </c>
      <c r="E64" s="6"/>
      <c r="F64" s="4"/>
      <c r="G64" s="41">
        <f>IFERROR(F64/$F$55,0)</f>
        <v>0</v>
      </c>
      <c r="H64" s="4"/>
      <c r="I64" s="41">
        <f>IFERROR(H64/$H$55,0)</f>
        <v>0</v>
      </c>
      <c r="J64" s="7"/>
      <c r="K64" s="42">
        <f>IFERROR(J64/$J$55,0)</f>
        <v>0</v>
      </c>
      <c r="L64" s="44">
        <f t="shared" si="10"/>
        <v>0</v>
      </c>
      <c r="M64" s="45">
        <f t="shared" si="11"/>
        <v>0</v>
      </c>
      <c r="N64" s="44">
        <f t="shared" si="12"/>
        <v>0</v>
      </c>
      <c r="O64" s="45">
        <f t="shared" si="13"/>
        <v>0</v>
      </c>
      <c r="P64" s="12"/>
    </row>
    <row r="65" spans="1:16" ht="15.6" x14ac:dyDescent="0.3">
      <c r="A65" s="1" t="s">
        <v>34</v>
      </c>
      <c r="B65" s="20" t="s">
        <v>35</v>
      </c>
      <c r="C65" s="6"/>
      <c r="D65" s="40">
        <f>IFERROR(C65/$C$55,0)</f>
        <v>0</v>
      </c>
      <c r="E65" s="6"/>
      <c r="F65" s="4"/>
      <c r="G65" s="41">
        <f>IFERROR(F65/$F$55,0)</f>
        <v>0</v>
      </c>
      <c r="H65" s="4"/>
      <c r="I65" s="41">
        <f>IFERROR(H65/$H$55,0)</f>
        <v>0</v>
      </c>
      <c r="J65" s="7"/>
      <c r="K65" s="42">
        <f>IFERROR(J65/$J$55,0)</f>
        <v>0</v>
      </c>
      <c r="L65" s="44">
        <f t="shared" si="10"/>
        <v>0</v>
      </c>
      <c r="M65" s="45">
        <f t="shared" si="11"/>
        <v>0</v>
      </c>
      <c r="N65" s="44">
        <f t="shared" si="12"/>
        <v>0</v>
      </c>
      <c r="O65" s="45">
        <f t="shared" si="13"/>
        <v>0</v>
      </c>
      <c r="P65" s="12"/>
    </row>
    <row r="66" spans="1:16" ht="15.6" x14ac:dyDescent="0.3">
      <c r="A66" s="1" t="s">
        <v>36</v>
      </c>
      <c r="B66" s="20" t="s">
        <v>37</v>
      </c>
      <c r="C66" s="6"/>
      <c r="D66" s="40">
        <f>IFERROR(C66/$C$55,0)</f>
        <v>0</v>
      </c>
      <c r="E66" s="6"/>
      <c r="F66" s="4"/>
      <c r="G66" s="41">
        <f>IFERROR(F66/$F$55,0)</f>
        <v>0</v>
      </c>
      <c r="H66" s="4"/>
      <c r="I66" s="41">
        <f>IFERROR(H66/$H$55,0)</f>
        <v>0</v>
      </c>
      <c r="J66" s="7"/>
      <c r="K66" s="42">
        <f>IFERROR(J66/$J$55,0)</f>
        <v>0</v>
      </c>
      <c r="L66" s="44">
        <f t="shared" si="10"/>
        <v>0</v>
      </c>
      <c r="M66" s="45">
        <f t="shared" si="11"/>
        <v>0</v>
      </c>
      <c r="N66" s="44">
        <f t="shared" si="12"/>
        <v>0</v>
      </c>
      <c r="O66" s="45">
        <f t="shared" si="13"/>
        <v>0</v>
      </c>
      <c r="P66" s="12"/>
    </row>
    <row r="67" spans="1:16" ht="27.6" x14ac:dyDescent="0.3">
      <c r="A67" s="1" t="s">
        <v>38</v>
      </c>
      <c r="B67" s="20" t="s">
        <v>39</v>
      </c>
      <c r="C67" s="6"/>
      <c r="D67" s="40">
        <f>IFERROR(C67/$C$55,0)</f>
        <v>0</v>
      </c>
      <c r="E67" s="6"/>
      <c r="F67" s="4"/>
      <c r="G67" s="41">
        <f>IFERROR(F67/$F$55,0)</f>
        <v>0</v>
      </c>
      <c r="H67" s="4"/>
      <c r="I67" s="41">
        <f>IFERROR(H67/$H$55,0)</f>
        <v>0</v>
      </c>
      <c r="J67" s="7"/>
      <c r="K67" s="42">
        <f>IFERROR(J67/$J$55,0)</f>
        <v>0</v>
      </c>
      <c r="L67" s="44">
        <f t="shared" si="10"/>
        <v>0</v>
      </c>
      <c r="M67" s="45">
        <f t="shared" si="11"/>
        <v>0</v>
      </c>
      <c r="N67" s="44">
        <f t="shared" si="12"/>
        <v>0</v>
      </c>
      <c r="O67" s="45">
        <f t="shared" si="13"/>
        <v>0</v>
      </c>
      <c r="P67" s="12"/>
    </row>
    <row r="68" spans="1:16" ht="15.6" x14ac:dyDescent="0.3">
      <c r="A68" s="1" t="s">
        <v>40</v>
      </c>
      <c r="B68" s="20" t="s">
        <v>41</v>
      </c>
      <c r="C68" s="6"/>
      <c r="D68" s="40">
        <f>IFERROR(C68/$C$55,0)</f>
        <v>0</v>
      </c>
      <c r="E68" s="6"/>
      <c r="F68" s="4"/>
      <c r="G68" s="41">
        <f>IFERROR(F68/$F$55,0)</f>
        <v>0</v>
      </c>
      <c r="H68" s="4"/>
      <c r="I68" s="41">
        <f>IFERROR(H68/$H$55,0)</f>
        <v>0</v>
      </c>
      <c r="J68" s="7"/>
      <c r="K68" s="42">
        <f>IFERROR(J68/$J$55,0)</f>
        <v>0</v>
      </c>
      <c r="L68" s="44">
        <f t="shared" si="10"/>
        <v>0</v>
      </c>
      <c r="M68" s="45">
        <f t="shared" si="11"/>
        <v>0</v>
      </c>
      <c r="N68" s="44">
        <f t="shared" si="12"/>
        <v>0</v>
      </c>
      <c r="O68" s="45">
        <f t="shared" si="13"/>
        <v>0</v>
      </c>
      <c r="P68" s="12"/>
    </row>
    <row r="69" spans="1:16" ht="15.6" x14ac:dyDescent="0.3">
      <c r="A69" s="1" t="s">
        <v>42</v>
      </c>
      <c r="B69" s="20" t="s">
        <v>43</v>
      </c>
      <c r="C69" s="6"/>
      <c r="D69" s="40">
        <f>IFERROR(C69/$C$55,0)</f>
        <v>0</v>
      </c>
      <c r="E69" s="6"/>
      <c r="F69" s="4"/>
      <c r="G69" s="41">
        <f>IFERROR(F69/$F$55,0)</f>
        <v>0</v>
      </c>
      <c r="H69" s="4"/>
      <c r="I69" s="41">
        <f>IFERROR(H69/$H$55,0)</f>
        <v>0</v>
      </c>
      <c r="J69" s="7"/>
      <c r="K69" s="42">
        <f>IFERROR(J69/$J$55,0)</f>
        <v>0</v>
      </c>
      <c r="L69" s="44">
        <f t="shared" si="10"/>
        <v>0</v>
      </c>
      <c r="M69" s="45">
        <f t="shared" si="11"/>
        <v>0</v>
      </c>
      <c r="N69" s="44">
        <f t="shared" si="12"/>
        <v>0</v>
      </c>
      <c r="O69" s="45">
        <f t="shared" si="13"/>
        <v>0</v>
      </c>
      <c r="P69" s="12"/>
    </row>
    <row r="70" spans="1:16" ht="15.6" x14ac:dyDescent="0.3">
      <c r="A70" s="1" t="s">
        <v>44</v>
      </c>
      <c r="B70" s="18" t="s">
        <v>45</v>
      </c>
      <c r="C70" s="6"/>
      <c r="D70" s="40">
        <f>IFERROR(C70/$C$55,0)</f>
        <v>0</v>
      </c>
      <c r="E70" s="6"/>
      <c r="F70" s="4"/>
      <c r="G70" s="41">
        <f>IFERROR(F70/$F$55,0)</f>
        <v>0</v>
      </c>
      <c r="H70" s="4"/>
      <c r="I70" s="41">
        <f>IFERROR(H70/$H$55,0)</f>
        <v>0</v>
      </c>
      <c r="J70" s="7"/>
      <c r="K70" s="42">
        <f>IFERROR(J70/$J$55,0)</f>
        <v>0</v>
      </c>
      <c r="L70" s="44">
        <f t="shared" si="10"/>
        <v>0</v>
      </c>
      <c r="M70" s="45">
        <f t="shared" si="11"/>
        <v>0</v>
      </c>
      <c r="N70" s="44">
        <f t="shared" si="12"/>
        <v>0</v>
      </c>
      <c r="O70" s="45">
        <f t="shared" si="13"/>
        <v>0</v>
      </c>
      <c r="P70" s="12"/>
    </row>
    <row r="71" spans="1:16" ht="15.6" x14ac:dyDescent="0.3">
      <c r="A71" s="1" t="s">
        <v>46</v>
      </c>
      <c r="B71" s="18" t="s">
        <v>47</v>
      </c>
      <c r="C71" s="6"/>
      <c r="D71" s="40">
        <f>IFERROR(C71/$C$55,0)</f>
        <v>0</v>
      </c>
      <c r="E71" s="6"/>
      <c r="F71" s="4"/>
      <c r="G71" s="41">
        <f>IFERROR(F71/$F$55,0)</f>
        <v>0</v>
      </c>
      <c r="H71" s="4"/>
      <c r="I71" s="41">
        <f>IFERROR(H71/$H$55,0)</f>
        <v>0</v>
      </c>
      <c r="J71" s="7"/>
      <c r="K71" s="42">
        <f>IFERROR(J71/$J$55,0)</f>
        <v>0</v>
      </c>
      <c r="L71" s="44">
        <f t="shared" si="10"/>
        <v>0</v>
      </c>
      <c r="M71" s="45">
        <f t="shared" si="11"/>
        <v>0</v>
      </c>
      <c r="N71" s="44">
        <f t="shared" si="12"/>
        <v>0</v>
      </c>
      <c r="O71" s="45">
        <f t="shared" si="13"/>
        <v>0</v>
      </c>
      <c r="P71" s="12"/>
    </row>
    <row r="72" spans="1:16" ht="15.6" x14ac:dyDescent="0.3">
      <c r="A72" s="1" t="s">
        <v>48</v>
      </c>
      <c r="B72" s="18" t="s">
        <v>49</v>
      </c>
      <c r="C72" s="6"/>
      <c r="D72" s="40">
        <f>IFERROR(C72/$C$55,0)</f>
        <v>0</v>
      </c>
      <c r="E72" s="6"/>
      <c r="F72" s="4"/>
      <c r="G72" s="41">
        <f>IFERROR(F72/$F$55,0)</f>
        <v>0</v>
      </c>
      <c r="H72" s="4"/>
      <c r="I72" s="41">
        <f>IFERROR(H72/$H$55,0)</f>
        <v>0</v>
      </c>
      <c r="J72" s="7"/>
      <c r="K72" s="42">
        <f>IFERROR(J72/$J$55,0)</f>
        <v>0</v>
      </c>
      <c r="L72" s="44">
        <f t="shared" si="10"/>
        <v>0</v>
      </c>
      <c r="M72" s="45">
        <f t="shared" si="11"/>
        <v>0</v>
      </c>
      <c r="N72" s="44">
        <f t="shared" si="12"/>
        <v>0</v>
      </c>
      <c r="O72" s="45">
        <f t="shared" si="13"/>
        <v>0</v>
      </c>
      <c r="P72" s="12"/>
    </row>
    <row r="73" spans="1:16" ht="15.6" x14ac:dyDescent="0.3">
      <c r="A73" s="10" t="s">
        <v>50</v>
      </c>
      <c r="B73" s="18" t="s">
        <v>51</v>
      </c>
      <c r="C73" s="2">
        <f>SUM(C74:C95)</f>
        <v>0</v>
      </c>
      <c r="D73" s="40">
        <f>IFERROR(C73/$C$55,0)</f>
        <v>0</v>
      </c>
      <c r="E73" s="2">
        <f>SUM(E74:E95)</f>
        <v>0</v>
      </c>
      <c r="F73" s="3">
        <f>SUM(F74:F95)</f>
        <v>0</v>
      </c>
      <c r="G73" s="41">
        <f>IFERROR(F73/$F$55,0)</f>
        <v>0</v>
      </c>
      <c r="H73" s="3">
        <f>SUM(H74:H95)</f>
        <v>0</v>
      </c>
      <c r="I73" s="41">
        <f>IFERROR(H73/$H$55,0)</f>
        <v>0</v>
      </c>
      <c r="J73" s="5">
        <f>SUM(J74:J95)</f>
        <v>0</v>
      </c>
      <c r="K73" s="42">
        <f>IFERROR(J73/$J$55,0)</f>
        <v>0</v>
      </c>
      <c r="L73" s="44">
        <f t="shared" si="10"/>
        <v>0</v>
      </c>
      <c r="M73" s="45">
        <f t="shared" si="11"/>
        <v>0</v>
      </c>
      <c r="N73" s="44">
        <f t="shared" si="12"/>
        <v>0</v>
      </c>
      <c r="O73" s="45">
        <f t="shared" si="13"/>
        <v>0</v>
      </c>
      <c r="P73" s="12"/>
    </row>
    <row r="74" spans="1:16" ht="15.6" x14ac:dyDescent="0.3">
      <c r="A74" s="1" t="s">
        <v>52</v>
      </c>
      <c r="B74" s="21" t="s">
        <v>53</v>
      </c>
      <c r="C74" s="6"/>
      <c r="D74" s="40">
        <f>IFERROR(C74/$C$55,0)</f>
        <v>0</v>
      </c>
      <c r="E74" s="6"/>
      <c r="F74" s="4"/>
      <c r="G74" s="41">
        <f>IFERROR(F74/$F$55,0)</f>
        <v>0</v>
      </c>
      <c r="H74" s="4"/>
      <c r="I74" s="41">
        <f>IFERROR(H74/$H$55,0)</f>
        <v>0</v>
      </c>
      <c r="J74" s="7"/>
      <c r="K74" s="42">
        <f>IFERROR(J74/$J$55,0)</f>
        <v>0</v>
      </c>
      <c r="L74" s="44">
        <f t="shared" si="10"/>
        <v>0</v>
      </c>
      <c r="M74" s="45">
        <f t="shared" si="11"/>
        <v>0</v>
      </c>
      <c r="N74" s="44">
        <f t="shared" si="12"/>
        <v>0</v>
      </c>
      <c r="O74" s="45">
        <f t="shared" si="13"/>
        <v>0</v>
      </c>
      <c r="P74" s="12"/>
    </row>
    <row r="75" spans="1:16" ht="15.6" x14ac:dyDescent="0.3">
      <c r="A75" s="1" t="s">
        <v>54</v>
      </c>
      <c r="B75" s="21" t="s">
        <v>55</v>
      </c>
      <c r="C75" s="6"/>
      <c r="D75" s="40">
        <f>IFERROR(C75/$C$55,0)</f>
        <v>0</v>
      </c>
      <c r="E75" s="6"/>
      <c r="F75" s="4"/>
      <c r="G75" s="41">
        <f>IFERROR(F75/$F$55,0)</f>
        <v>0</v>
      </c>
      <c r="H75" s="4"/>
      <c r="I75" s="41">
        <f>IFERROR(H75/$H$55,0)</f>
        <v>0</v>
      </c>
      <c r="J75" s="7"/>
      <c r="K75" s="42">
        <f>IFERROR(J75/$J$55,0)</f>
        <v>0</v>
      </c>
      <c r="L75" s="44">
        <f t="shared" si="10"/>
        <v>0</v>
      </c>
      <c r="M75" s="45">
        <f t="shared" si="11"/>
        <v>0</v>
      </c>
      <c r="N75" s="44">
        <f t="shared" si="12"/>
        <v>0</v>
      </c>
      <c r="O75" s="45">
        <f t="shared" si="13"/>
        <v>0</v>
      </c>
      <c r="P75" s="12"/>
    </row>
    <row r="76" spans="1:16" ht="15.6" x14ac:dyDescent="0.3">
      <c r="A76" s="1" t="s">
        <v>56</v>
      </c>
      <c r="B76" s="21" t="s">
        <v>57</v>
      </c>
      <c r="C76" s="6"/>
      <c r="D76" s="40">
        <f>IFERROR(C76/$C$55,0)</f>
        <v>0</v>
      </c>
      <c r="E76" s="6"/>
      <c r="F76" s="4"/>
      <c r="G76" s="41">
        <f>IFERROR(F76/$F$55,0)</f>
        <v>0</v>
      </c>
      <c r="H76" s="4"/>
      <c r="I76" s="41">
        <f>IFERROR(H76/$H$55,0)</f>
        <v>0</v>
      </c>
      <c r="J76" s="7"/>
      <c r="K76" s="42">
        <f>IFERROR(J76/$J$55,0)</f>
        <v>0</v>
      </c>
      <c r="L76" s="44">
        <f t="shared" si="10"/>
        <v>0</v>
      </c>
      <c r="M76" s="45">
        <f t="shared" si="11"/>
        <v>0</v>
      </c>
      <c r="N76" s="44">
        <f t="shared" si="12"/>
        <v>0</v>
      </c>
      <c r="O76" s="45">
        <f t="shared" si="13"/>
        <v>0</v>
      </c>
      <c r="P76" s="12"/>
    </row>
    <row r="77" spans="1:16" ht="15.6" x14ac:dyDescent="0.3">
      <c r="A77" s="1" t="s">
        <v>58</v>
      </c>
      <c r="B77" s="21" t="s">
        <v>59</v>
      </c>
      <c r="C77" s="6"/>
      <c r="D77" s="40">
        <f>IFERROR(C77/$C$55,0)</f>
        <v>0</v>
      </c>
      <c r="E77" s="6"/>
      <c r="F77" s="4"/>
      <c r="G77" s="41">
        <f>IFERROR(F77/$F$55,0)</f>
        <v>0</v>
      </c>
      <c r="H77" s="4"/>
      <c r="I77" s="41">
        <f>IFERROR(H77/$H$55,0)</f>
        <v>0</v>
      </c>
      <c r="J77" s="7"/>
      <c r="K77" s="42">
        <f>IFERROR(J77/$J$55,0)</f>
        <v>0</v>
      </c>
      <c r="L77" s="44">
        <f t="shared" si="10"/>
        <v>0</v>
      </c>
      <c r="M77" s="45">
        <f t="shared" si="11"/>
        <v>0</v>
      </c>
      <c r="N77" s="44">
        <f t="shared" si="12"/>
        <v>0</v>
      </c>
      <c r="O77" s="45">
        <f t="shared" si="13"/>
        <v>0</v>
      </c>
      <c r="P77" s="12"/>
    </row>
    <row r="78" spans="1:16" ht="15.6" x14ac:dyDescent="0.3">
      <c r="A78" s="1" t="s">
        <v>60</v>
      </c>
      <c r="B78" s="21" t="s">
        <v>61</v>
      </c>
      <c r="C78" s="6"/>
      <c r="D78" s="40">
        <f>IFERROR(C78/$C$55,0)</f>
        <v>0</v>
      </c>
      <c r="E78" s="6"/>
      <c r="F78" s="4"/>
      <c r="G78" s="41">
        <f>IFERROR(F78/$F$55,0)</f>
        <v>0</v>
      </c>
      <c r="H78" s="4"/>
      <c r="I78" s="41">
        <f>IFERROR(H78/$H$55,0)</f>
        <v>0</v>
      </c>
      <c r="J78" s="7"/>
      <c r="K78" s="42">
        <f>IFERROR(J78/$J$55,0)</f>
        <v>0</v>
      </c>
      <c r="L78" s="44">
        <f t="shared" si="10"/>
        <v>0</v>
      </c>
      <c r="M78" s="45">
        <f t="shared" si="11"/>
        <v>0</v>
      </c>
      <c r="N78" s="44">
        <f t="shared" si="12"/>
        <v>0</v>
      </c>
      <c r="O78" s="45">
        <f t="shared" si="13"/>
        <v>0</v>
      </c>
      <c r="P78" s="12"/>
    </row>
    <row r="79" spans="1:16" ht="15.6" x14ac:dyDescent="0.3">
      <c r="A79" s="1" t="s">
        <v>62</v>
      </c>
      <c r="B79" s="21" t="s">
        <v>63</v>
      </c>
      <c r="C79" s="6"/>
      <c r="D79" s="40">
        <f>IFERROR(C79/$C$55,0)</f>
        <v>0</v>
      </c>
      <c r="E79" s="6"/>
      <c r="F79" s="4"/>
      <c r="G79" s="41">
        <f>IFERROR(F79/$F$55,0)</f>
        <v>0</v>
      </c>
      <c r="H79" s="4"/>
      <c r="I79" s="41">
        <f>IFERROR(H79/$H$55,0)</f>
        <v>0</v>
      </c>
      <c r="J79" s="7"/>
      <c r="K79" s="42">
        <f>IFERROR(J79/$J$55,0)</f>
        <v>0</v>
      </c>
      <c r="L79" s="44">
        <f t="shared" si="10"/>
        <v>0</v>
      </c>
      <c r="M79" s="45">
        <f t="shared" si="11"/>
        <v>0</v>
      </c>
      <c r="N79" s="44">
        <f t="shared" si="12"/>
        <v>0</v>
      </c>
      <c r="O79" s="45">
        <f t="shared" si="13"/>
        <v>0</v>
      </c>
      <c r="P79" s="12"/>
    </row>
    <row r="80" spans="1:16" ht="15.6" x14ac:dyDescent="0.3">
      <c r="A80" s="1" t="s">
        <v>64</v>
      </c>
      <c r="B80" s="21" t="s">
        <v>65</v>
      </c>
      <c r="C80" s="6"/>
      <c r="D80" s="40">
        <f>IFERROR(C80/$C$55,0)</f>
        <v>0</v>
      </c>
      <c r="E80" s="6"/>
      <c r="F80" s="4"/>
      <c r="G80" s="41">
        <f>IFERROR(F80/$F$55,0)</f>
        <v>0</v>
      </c>
      <c r="H80" s="4"/>
      <c r="I80" s="41">
        <f>IFERROR(H80/$H$55,0)</f>
        <v>0</v>
      </c>
      <c r="J80" s="7"/>
      <c r="K80" s="42">
        <f>IFERROR(J80/$J$55,0)</f>
        <v>0</v>
      </c>
      <c r="L80" s="44">
        <f t="shared" si="10"/>
        <v>0</v>
      </c>
      <c r="M80" s="45">
        <f t="shared" si="11"/>
        <v>0</v>
      </c>
      <c r="N80" s="44">
        <f t="shared" si="12"/>
        <v>0</v>
      </c>
      <c r="O80" s="45">
        <f t="shared" si="13"/>
        <v>0</v>
      </c>
      <c r="P80" s="12"/>
    </row>
    <row r="81" spans="1:16" ht="15.6" x14ac:dyDescent="0.3">
      <c r="A81" s="1" t="s">
        <v>66</v>
      </c>
      <c r="B81" s="21" t="s">
        <v>67</v>
      </c>
      <c r="C81" s="6"/>
      <c r="D81" s="40">
        <f>IFERROR(C81/$C$55,0)</f>
        <v>0</v>
      </c>
      <c r="E81" s="6"/>
      <c r="F81" s="4"/>
      <c r="G81" s="41">
        <f>IFERROR(F81/$F$55,0)</f>
        <v>0</v>
      </c>
      <c r="H81" s="4"/>
      <c r="I81" s="41">
        <f>IFERROR(H81/$H$55,0)</f>
        <v>0</v>
      </c>
      <c r="J81" s="7"/>
      <c r="K81" s="42">
        <f>IFERROR(J81/$J$55,0)</f>
        <v>0</v>
      </c>
      <c r="L81" s="44">
        <f t="shared" si="10"/>
        <v>0</v>
      </c>
      <c r="M81" s="45">
        <f t="shared" si="11"/>
        <v>0</v>
      </c>
      <c r="N81" s="44">
        <f t="shared" si="12"/>
        <v>0</v>
      </c>
      <c r="O81" s="45">
        <f t="shared" si="13"/>
        <v>0</v>
      </c>
      <c r="P81" s="12"/>
    </row>
    <row r="82" spans="1:16" ht="15.6" x14ac:dyDescent="0.3">
      <c r="A82" s="1" t="s">
        <v>68</v>
      </c>
      <c r="B82" s="21" t="s">
        <v>69</v>
      </c>
      <c r="C82" s="6"/>
      <c r="D82" s="40">
        <f>IFERROR(C82/$C$55,0)</f>
        <v>0</v>
      </c>
      <c r="E82" s="6"/>
      <c r="F82" s="4"/>
      <c r="G82" s="41">
        <f>IFERROR(F82/$F$55,0)</f>
        <v>0</v>
      </c>
      <c r="H82" s="4"/>
      <c r="I82" s="41">
        <f>IFERROR(H82/$H$55,0)</f>
        <v>0</v>
      </c>
      <c r="J82" s="7"/>
      <c r="K82" s="42">
        <f>IFERROR(J82/$J$55,0)</f>
        <v>0</v>
      </c>
      <c r="L82" s="44">
        <f t="shared" si="10"/>
        <v>0</v>
      </c>
      <c r="M82" s="45">
        <f t="shared" si="11"/>
        <v>0</v>
      </c>
      <c r="N82" s="44">
        <f t="shared" si="12"/>
        <v>0</v>
      </c>
      <c r="O82" s="45">
        <f t="shared" si="13"/>
        <v>0</v>
      </c>
      <c r="P82" s="12"/>
    </row>
    <row r="83" spans="1:16" ht="15.6" x14ac:dyDescent="0.3">
      <c r="A83" s="1" t="s">
        <v>70</v>
      </c>
      <c r="B83" s="21" t="s">
        <v>71</v>
      </c>
      <c r="C83" s="6"/>
      <c r="D83" s="40">
        <f>IFERROR(C83/$C$55,0)</f>
        <v>0</v>
      </c>
      <c r="E83" s="6"/>
      <c r="F83" s="4"/>
      <c r="G83" s="41">
        <f>IFERROR(F83/$F$55,0)</f>
        <v>0</v>
      </c>
      <c r="H83" s="4"/>
      <c r="I83" s="41">
        <f>IFERROR(H83/$H$55,0)</f>
        <v>0</v>
      </c>
      <c r="J83" s="7"/>
      <c r="K83" s="42">
        <f>IFERROR(J83/$J$55,0)</f>
        <v>0</v>
      </c>
      <c r="L83" s="44">
        <f t="shared" si="10"/>
        <v>0</v>
      </c>
      <c r="M83" s="45">
        <f t="shared" si="11"/>
        <v>0</v>
      </c>
      <c r="N83" s="44">
        <f t="shared" si="12"/>
        <v>0</v>
      </c>
      <c r="O83" s="45">
        <f t="shared" si="13"/>
        <v>0</v>
      </c>
      <c r="P83" s="12"/>
    </row>
    <row r="84" spans="1:16" ht="15.6" x14ac:dyDescent="0.3">
      <c r="A84" s="1" t="s">
        <v>72</v>
      </c>
      <c r="B84" s="21" t="s">
        <v>73</v>
      </c>
      <c r="C84" s="6"/>
      <c r="D84" s="40">
        <f>IFERROR(C84/$C$55,0)</f>
        <v>0</v>
      </c>
      <c r="E84" s="6"/>
      <c r="F84" s="4"/>
      <c r="G84" s="41">
        <f>IFERROR(F84/$F$55,0)</f>
        <v>0</v>
      </c>
      <c r="H84" s="4"/>
      <c r="I84" s="41">
        <f>IFERROR(H84/$H$55,0)</f>
        <v>0</v>
      </c>
      <c r="J84" s="7"/>
      <c r="K84" s="42">
        <f>IFERROR(J84/$J$55,0)</f>
        <v>0</v>
      </c>
      <c r="L84" s="44">
        <f t="shared" si="10"/>
        <v>0</v>
      </c>
      <c r="M84" s="45">
        <f t="shared" si="11"/>
        <v>0</v>
      </c>
      <c r="N84" s="44">
        <f t="shared" si="12"/>
        <v>0</v>
      </c>
      <c r="O84" s="45">
        <f t="shared" si="13"/>
        <v>0</v>
      </c>
      <c r="P84" s="12"/>
    </row>
    <row r="85" spans="1:16" ht="15.6" x14ac:dyDescent="0.3">
      <c r="A85" s="13" t="s">
        <v>74</v>
      </c>
      <c r="B85" s="21" t="s">
        <v>75</v>
      </c>
      <c r="C85" s="6"/>
      <c r="D85" s="40">
        <f>IFERROR(C85/$C$55,0)</f>
        <v>0</v>
      </c>
      <c r="E85" s="6"/>
      <c r="F85" s="4"/>
      <c r="G85" s="41">
        <f>IFERROR(F85/$F$55,0)</f>
        <v>0</v>
      </c>
      <c r="H85" s="4"/>
      <c r="I85" s="41">
        <f>IFERROR(H85/$H$55,0)</f>
        <v>0</v>
      </c>
      <c r="J85" s="7"/>
      <c r="K85" s="42">
        <f>IFERROR(J85/$J$55,0)</f>
        <v>0</v>
      </c>
      <c r="L85" s="44">
        <f t="shared" si="10"/>
        <v>0</v>
      </c>
      <c r="M85" s="45">
        <f t="shared" si="11"/>
        <v>0</v>
      </c>
      <c r="N85" s="44">
        <f t="shared" si="12"/>
        <v>0</v>
      </c>
      <c r="O85" s="45">
        <f t="shared" si="13"/>
        <v>0</v>
      </c>
      <c r="P85" s="12"/>
    </row>
    <row r="86" spans="1:16" ht="15.6" x14ac:dyDescent="0.3">
      <c r="A86" s="1" t="s">
        <v>76</v>
      </c>
      <c r="B86" s="21" t="s">
        <v>77</v>
      </c>
      <c r="C86" s="6"/>
      <c r="D86" s="40">
        <f>IFERROR(C86/$C$55,0)</f>
        <v>0</v>
      </c>
      <c r="E86" s="6"/>
      <c r="F86" s="4"/>
      <c r="G86" s="41">
        <f>IFERROR(F86/$F$55,0)</f>
        <v>0</v>
      </c>
      <c r="H86" s="4"/>
      <c r="I86" s="41">
        <f>IFERROR(H86/$H$55,0)</f>
        <v>0</v>
      </c>
      <c r="J86" s="7"/>
      <c r="K86" s="42">
        <f>IFERROR(J86/$J$55,0)</f>
        <v>0</v>
      </c>
      <c r="L86" s="44">
        <f t="shared" si="10"/>
        <v>0</v>
      </c>
      <c r="M86" s="45">
        <f t="shared" si="11"/>
        <v>0</v>
      </c>
      <c r="N86" s="44">
        <f t="shared" si="12"/>
        <v>0</v>
      </c>
      <c r="O86" s="45">
        <f t="shared" si="13"/>
        <v>0</v>
      </c>
      <c r="P86" s="12"/>
    </row>
    <row r="87" spans="1:16" ht="15.6" x14ac:dyDescent="0.3">
      <c r="A87" s="12" t="s">
        <v>78</v>
      </c>
      <c r="B87" s="21" t="s">
        <v>79</v>
      </c>
      <c r="C87" s="6"/>
      <c r="D87" s="40">
        <f>IFERROR(C87/$C$55,0)</f>
        <v>0</v>
      </c>
      <c r="E87" s="6"/>
      <c r="F87" s="4"/>
      <c r="G87" s="41">
        <f>IFERROR(F87/$F$55,0)</f>
        <v>0</v>
      </c>
      <c r="H87" s="4"/>
      <c r="I87" s="41">
        <f>IFERROR(H87/$H$55,0)</f>
        <v>0</v>
      </c>
      <c r="J87" s="7"/>
      <c r="K87" s="42">
        <f>IFERROR(J87/$J$55,0)</f>
        <v>0</v>
      </c>
      <c r="L87" s="44">
        <f t="shared" si="10"/>
        <v>0</v>
      </c>
      <c r="M87" s="45">
        <f t="shared" si="11"/>
        <v>0</v>
      </c>
      <c r="N87" s="44">
        <f t="shared" si="12"/>
        <v>0</v>
      </c>
      <c r="O87" s="45">
        <f t="shared" si="13"/>
        <v>0</v>
      </c>
      <c r="P87" s="12"/>
    </row>
    <row r="88" spans="1:16" ht="15.6" x14ac:dyDescent="0.3">
      <c r="A88" s="1" t="s">
        <v>80</v>
      </c>
      <c r="B88" s="21" t="s">
        <v>81</v>
      </c>
      <c r="C88" s="6"/>
      <c r="D88" s="40">
        <f>IFERROR(C88/$C$55,0)</f>
        <v>0</v>
      </c>
      <c r="E88" s="6"/>
      <c r="F88" s="4"/>
      <c r="G88" s="41">
        <f>IFERROR(F88/$F$55,0)</f>
        <v>0</v>
      </c>
      <c r="H88" s="4"/>
      <c r="I88" s="41">
        <f>IFERROR(H88/$H$55,0)</f>
        <v>0</v>
      </c>
      <c r="J88" s="7"/>
      <c r="K88" s="42">
        <f>IFERROR(J88/$J$55,0)</f>
        <v>0</v>
      </c>
      <c r="L88" s="44">
        <f t="shared" si="10"/>
        <v>0</v>
      </c>
      <c r="M88" s="45">
        <f t="shared" si="11"/>
        <v>0</v>
      </c>
      <c r="N88" s="44">
        <f t="shared" si="12"/>
        <v>0</v>
      </c>
      <c r="O88" s="45">
        <f t="shared" si="13"/>
        <v>0</v>
      </c>
      <c r="P88" s="12"/>
    </row>
    <row r="89" spans="1:16" ht="15.6" x14ac:dyDescent="0.3">
      <c r="A89" s="12" t="s">
        <v>82</v>
      </c>
      <c r="B89" s="21" t="s">
        <v>83</v>
      </c>
      <c r="C89" s="6"/>
      <c r="D89" s="40">
        <f>IFERROR(C89/$C$55,0)</f>
        <v>0</v>
      </c>
      <c r="E89" s="6"/>
      <c r="F89" s="4"/>
      <c r="G89" s="41">
        <f>IFERROR(F89/$F$55,0)</f>
        <v>0</v>
      </c>
      <c r="H89" s="4"/>
      <c r="I89" s="41">
        <f>IFERROR(H89/$H$55,0)</f>
        <v>0</v>
      </c>
      <c r="J89" s="7"/>
      <c r="K89" s="42">
        <f>IFERROR(J89/$J$55,0)</f>
        <v>0</v>
      </c>
      <c r="L89" s="44">
        <f t="shared" si="10"/>
        <v>0</v>
      </c>
      <c r="M89" s="45">
        <f t="shared" si="11"/>
        <v>0</v>
      </c>
      <c r="N89" s="44">
        <f t="shared" si="12"/>
        <v>0</v>
      </c>
      <c r="O89" s="45">
        <f t="shared" si="13"/>
        <v>0</v>
      </c>
      <c r="P89" s="12"/>
    </row>
    <row r="90" spans="1:16" ht="15.6" x14ac:dyDescent="0.3">
      <c r="A90" s="1" t="s">
        <v>84</v>
      </c>
      <c r="B90" s="21" t="s">
        <v>85</v>
      </c>
      <c r="C90" s="6"/>
      <c r="D90" s="40">
        <f>IFERROR(C90/$C$55,0)</f>
        <v>0</v>
      </c>
      <c r="E90" s="6"/>
      <c r="F90" s="4"/>
      <c r="G90" s="41">
        <f>IFERROR(F90/$F$55,0)</f>
        <v>0</v>
      </c>
      <c r="H90" s="4"/>
      <c r="I90" s="41">
        <f>IFERROR(H90/$H$55,0)</f>
        <v>0</v>
      </c>
      <c r="J90" s="7"/>
      <c r="K90" s="42">
        <f>IFERROR(J90/$J$55,0)</f>
        <v>0</v>
      </c>
      <c r="L90" s="44">
        <f t="shared" si="10"/>
        <v>0</v>
      </c>
      <c r="M90" s="45">
        <f t="shared" si="11"/>
        <v>0</v>
      </c>
      <c r="N90" s="44">
        <f t="shared" si="12"/>
        <v>0</v>
      </c>
      <c r="O90" s="45">
        <f t="shared" si="13"/>
        <v>0</v>
      </c>
      <c r="P90" s="12"/>
    </row>
    <row r="91" spans="1:16" ht="15.6" x14ac:dyDescent="0.3">
      <c r="A91" s="1" t="s">
        <v>86</v>
      </c>
      <c r="B91" s="21" t="s">
        <v>87</v>
      </c>
      <c r="C91" s="6"/>
      <c r="D91" s="40">
        <f>IFERROR(C91/$C$55,0)</f>
        <v>0</v>
      </c>
      <c r="E91" s="6"/>
      <c r="F91" s="4"/>
      <c r="G91" s="41">
        <f>IFERROR(F91/$F$55,0)</f>
        <v>0</v>
      </c>
      <c r="H91" s="4"/>
      <c r="I91" s="41">
        <f>IFERROR(H91/$H$55,0)</f>
        <v>0</v>
      </c>
      <c r="J91" s="7"/>
      <c r="K91" s="42">
        <f>IFERROR(J91/$J$55,0)</f>
        <v>0</v>
      </c>
      <c r="L91" s="44">
        <f t="shared" si="10"/>
        <v>0</v>
      </c>
      <c r="M91" s="45">
        <f t="shared" si="11"/>
        <v>0</v>
      </c>
      <c r="N91" s="44">
        <f t="shared" si="12"/>
        <v>0</v>
      </c>
      <c r="O91" s="45">
        <f t="shared" si="13"/>
        <v>0</v>
      </c>
      <c r="P91" s="12"/>
    </row>
    <row r="92" spans="1:16" ht="15.6" x14ac:dyDescent="0.3">
      <c r="A92" s="1" t="s">
        <v>88</v>
      </c>
      <c r="B92" s="21" t="s">
        <v>89</v>
      </c>
      <c r="C92" s="6"/>
      <c r="D92" s="40">
        <f>IFERROR(C92/$C$55,0)</f>
        <v>0</v>
      </c>
      <c r="E92" s="6"/>
      <c r="F92" s="4"/>
      <c r="G92" s="41">
        <f>IFERROR(F92/$F$55,0)</f>
        <v>0</v>
      </c>
      <c r="H92" s="4"/>
      <c r="I92" s="41">
        <f>IFERROR(H92/$H$55,0)</f>
        <v>0</v>
      </c>
      <c r="J92" s="7"/>
      <c r="K92" s="42">
        <f>IFERROR(J92/$J$55,0)</f>
        <v>0</v>
      </c>
      <c r="L92" s="44">
        <f t="shared" si="10"/>
        <v>0</v>
      </c>
      <c r="M92" s="45">
        <f t="shared" si="11"/>
        <v>0</v>
      </c>
      <c r="N92" s="44">
        <f t="shared" si="12"/>
        <v>0</v>
      </c>
      <c r="O92" s="45">
        <f t="shared" si="13"/>
        <v>0</v>
      </c>
      <c r="P92" s="12"/>
    </row>
    <row r="93" spans="1:16" ht="15.6" x14ac:dyDescent="0.3">
      <c r="A93" s="1" t="s">
        <v>90</v>
      </c>
      <c r="B93" s="21" t="s">
        <v>91</v>
      </c>
      <c r="C93" s="6"/>
      <c r="D93" s="40">
        <f>IFERROR(C93/$C$55,0)</f>
        <v>0</v>
      </c>
      <c r="E93" s="6"/>
      <c r="F93" s="4"/>
      <c r="G93" s="41">
        <f>IFERROR(F93/$F$55,0)</f>
        <v>0</v>
      </c>
      <c r="H93" s="4"/>
      <c r="I93" s="41">
        <f>IFERROR(H93/$H$55,0)</f>
        <v>0</v>
      </c>
      <c r="J93" s="7"/>
      <c r="K93" s="42">
        <f>IFERROR(J93/$J$55,0)</f>
        <v>0</v>
      </c>
      <c r="L93" s="44">
        <f t="shared" si="10"/>
        <v>0</v>
      </c>
      <c r="M93" s="45">
        <f t="shared" si="11"/>
        <v>0</v>
      </c>
      <c r="N93" s="44">
        <f t="shared" si="12"/>
        <v>0</v>
      </c>
      <c r="O93" s="45">
        <f t="shared" si="13"/>
        <v>0</v>
      </c>
      <c r="P93" s="12"/>
    </row>
    <row r="94" spans="1:16" ht="15.6" x14ac:dyDescent="0.3">
      <c r="A94" s="1" t="s">
        <v>92</v>
      </c>
      <c r="B94" s="21" t="s">
        <v>93</v>
      </c>
      <c r="C94" s="6"/>
      <c r="D94" s="40">
        <f>IFERROR(C94/$C$55,0)</f>
        <v>0</v>
      </c>
      <c r="E94" s="6"/>
      <c r="F94" s="4"/>
      <c r="G94" s="41">
        <f>IFERROR(F94/$F$55,0)</f>
        <v>0</v>
      </c>
      <c r="H94" s="4"/>
      <c r="I94" s="41">
        <f>IFERROR(H94/$H$55,0)</f>
        <v>0</v>
      </c>
      <c r="J94" s="7"/>
      <c r="K94" s="42">
        <f>IFERROR(J94/$J$55,0)</f>
        <v>0</v>
      </c>
      <c r="L94" s="44">
        <f t="shared" si="10"/>
        <v>0</v>
      </c>
      <c r="M94" s="45">
        <f t="shared" si="11"/>
        <v>0</v>
      </c>
      <c r="N94" s="44">
        <f t="shared" si="12"/>
        <v>0</v>
      </c>
      <c r="O94" s="45">
        <f t="shared" si="13"/>
        <v>0</v>
      </c>
      <c r="P94" s="12"/>
    </row>
    <row r="95" spans="1:16" ht="15.6" x14ac:dyDescent="0.3">
      <c r="A95" s="1" t="s">
        <v>94</v>
      </c>
      <c r="B95" s="21" t="s">
        <v>95</v>
      </c>
      <c r="C95" s="6"/>
      <c r="D95" s="40">
        <f>IFERROR(C95/$C$55,0)</f>
        <v>0</v>
      </c>
      <c r="E95" s="6"/>
      <c r="F95" s="4"/>
      <c r="G95" s="41">
        <f>IFERROR(F95/$F$55,0)</f>
        <v>0</v>
      </c>
      <c r="H95" s="4"/>
      <c r="I95" s="41">
        <f>IFERROR(H95/$H$55,0)</f>
        <v>0</v>
      </c>
      <c r="J95" s="7"/>
      <c r="K95" s="42">
        <f>IFERROR(J95/$J$55,0)</f>
        <v>0</v>
      </c>
      <c r="L95" s="44">
        <f t="shared" si="10"/>
        <v>0</v>
      </c>
      <c r="M95" s="45">
        <f t="shared" si="11"/>
        <v>0</v>
      </c>
      <c r="N95" s="44">
        <f t="shared" si="12"/>
        <v>0</v>
      </c>
      <c r="O95" s="45">
        <f t="shared" si="13"/>
        <v>0</v>
      </c>
      <c r="P95" s="12"/>
    </row>
    <row r="96" spans="1:16" ht="15.6" x14ac:dyDescent="0.3">
      <c r="A96" s="14" t="s">
        <v>96</v>
      </c>
      <c r="B96" s="22" t="s">
        <v>97</v>
      </c>
      <c r="C96" s="65">
        <f>C52-C55</f>
        <v>0</v>
      </c>
      <c r="D96" s="55"/>
      <c r="E96" s="2">
        <f>E52-E55</f>
        <v>0</v>
      </c>
      <c r="F96" s="56">
        <f>F52-F55</f>
        <v>0</v>
      </c>
      <c r="G96" s="55"/>
      <c r="H96" s="56">
        <f>H52-H55</f>
        <v>0</v>
      </c>
      <c r="I96" s="55"/>
      <c r="J96" s="64">
        <f>J52-J55</f>
        <v>0</v>
      </c>
      <c r="K96" s="55"/>
      <c r="L96" s="44">
        <f t="shared" si="10"/>
        <v>0</v>
      </c>
      <c r="M96" s="45">
        <f t="shared" si="11"/>
        <v>0</v>
      </c>
      <c r="N96" s="44">
        <f t="shared" si="12"/>
        <v>0</v>
      </c>
      <c r="O96" s="45">
        <f t="shared" si="13"/>
        <v>0</v>
      </c>
      <c r="P96" s="12"/>
    </row>
    <row r="97" spans="1:16" x14ac:dyDescent="0.3">
      <c r="A97" s="15" t="s">
        <v>98</v>
      </c>
      <c r="B97" s="22" t="s">
        <v>99</v>
      </c>
      <c r="C97" s="57">
        <f>IFERROR(C96/C52,0)</f>
        <v>0</v>
      </c>
      <c r="D97" s="55"/>
      <c r="E97" s="39">
        <f>IFERROR(E96/E52,0)</f>
        <v>0</v>
      </c>
      <c r="F97" s="63">
        <f>IFERROR(F96/F52,0)</f>
        <v>0</v>
      </c>
      <c r="G97" s="55"/>
      <c r="H97" s="63">
        <f>IFERROR(H96/H52,0)</f>
        <v>0</v>
      </c>
      <c r="I97" s="55"/>
      <c r="J97" s="66">
        <f>IFERROR(J96/J52,0)</f>
        <v>0</v>
      </c>
      <c r="K97" s="55"/>
    </row>
    <row r="99" spans="1:16" ht="66" x14ac:dyDescent="0.3">
      <c r="A99" s="48" t="s">
        <v>0</v>
      </c>
      <c r="B99" s="58" t="s">
        <v>101</v>
      </c>
      <c r="C99" s="60" t="s">
        <v>2</v>
      </c>
      <c r="D99" s="55"/>
      <c r="E99" s="50" t="s">
        <v>3</v>
      </c>
      <c r="F99" s="54" t="s">
        <v>4</v>
      </c>
      <c r="G99" s="55"/>
      <c r="H99" s="54" t="s">
        <v>5</v>
      </c>
      <c r="I99" s="55"/>
      <c r="J99" s="61" t="s">
        <v>6</v>
      </c>
      <c r="K99" s="62"/>
      <c r="L99" s="35" t="s">
        <v>104</v>
      </c>
      <c r="M99" s="36" t="s">
        <v>105</v>
      </c>
      <c r="N99" s="35" t="s">
        <v>106</v>
      </c>
      <c r="O99" s="36" t="s">
        <v>107</v>
      </c>
      <c r="P99" s="12" t="s">
        <v>103</v>
      </c>
    </row>
    <row r="100" spans="1:16" ht="27.6" x14ac:dyDescent="0.3">
      <c r="A100" s="49"/>
      <c r="B100" s="59"/>
      <c r="C100" s="24">
        <v>46204</v>
      </c>
      <c r="D100" s="27" t="s">
        <v>7</v>
      </c>
      <c r="E100" s="51"/>
      <c r="F100" s="25">
        <v>46235</v>
      </c>
      <c r="G100" s="31" t="s">
        <v>7</v>
      </c>
      <c r="H100" s="25">
        <v>46235</v>
      </c>
      <c r="I100" s="31" t="s">
        <v>7</v>
      </c>
      <c r="J100" s="26">
        <v>46266</v>
      </c>
      <c r="K100" s="34" t="s">
        <v>7</v>
      </c>
      <c r="L100" s="52">
        <f>F100</f>
        <v>46235</v>
      </c>
      <c r="M100" s="53"/>
      <c r="N100" s="52">
        <f>F100</f>
        <v>46235</v>
      </c>
      <c r="O100" s="53"/>
      <c r="P100" s="12"/>
    </row>
    <row r="101" spans="1:16" ht="15.6" x14ac:dyDescent="0.3">
      <c r="A101" s="10" t="s">
        <v>8</v>
      </c>
      <c r="B101" s="16" t="s">
        <v>9</v>
      </c>
      <c r="C101" s="2">
        <f>SUM(C102:C103)</f>
        <v>0</v>
      </c>
      <c r="D101" s="28"/>
      <c r="E101" s="2">
        <f>SUM(E102:E103)</f>
        <v>0</v>
      </c>
      <c r="F101" s="3">
        <f>SUM(F102:F103)</f>
        <v>0</v>
      </c>
      <c r="G101" s="32"/>
      <c r="H101" s="3">
        <f>SUM(H102:H103)</f>
        <v>0</v>
      </c>
      <c r="I101" s="33"/>
      <c r="J101" s="5">
        <f>SUM(J102:J103)</f>
        <v>0</v>
      </c>
      <c r="K101" s="43"/>
      <c r="L101" s="44">
        <f>H101-F101</f>
        <v>0</v>
      </c>
      <c r="M101" s="45">
        <f>IFERROR(L101/F101,0)</f>
        <v>0</v>
      </c>
      <c r="N101" s="44">
        <f>H101-C101</f>
        <v>0</v>
      </c>
      <c r="O101" s="45">
        <f>IFERROR(N101/C101,0)</f>
        <v>0</v>
      </c>
      <c r="P101" s="37"/>
    </row>
    <row r="102" spans="1:16" ht="15.6" x14ac:dyDescent="0.3">
      <c r="A102" s="1" t="s">
        <v>10</v>
      </c>
      <c r="B102" s="17" t="s">
        <v>11</v>
      </c>
      <c r="C102" s="6"/>
      <c r="D102" s="29"/>
      <c r="E102" s="6"/>
      <c r="F102" s="4"/>
      <c r="G102" s="33"/>
      <c r="H102" s="3"/>
      <c r="I102" s="33"/>
      <c r="J102" s="7"/>
      <c r="K102" s="46"/>
      <c r="L102" s="44">
        <f t="shared" ref="L102:L145" si="14">H102-F102</f>
        <v>0</v>
      </c>
      <c r="M102" s="45">
        <f t="shared" ref="M102:M145" si="15">IFERROR(L102/F102,0)</f>
        <v>0</v>
      </c>
      <c r="N102" s="44">
        <f t="shared" ref="N102:N145" si="16">H102-C102</f>
        <v>0</v>
      </c>
      <c r="O102" s="45">
        <f t="shared" ref="O102:O145" si="17">IFERROR(N102/C102,0)</f>
        <v>0</v>
      </c>
      <c r="P102" s="37"/>
    </row>
    <row r="103" spans="1:16" ht="15.6" x14ac:dyDescent="0.3">
      <c r="A103" s="1" t="s">
        <v>12</v>
      </c>
      <c r="B103" s="17" t="s">
        <v>13</v>
      </c>
      <c r="C103" s="6"/>
      <c r="D103" s="29"/>
      <c r="E103" s="6"/>
      <c r="F103" s="4"/>
      <c r="G103" s="33"/>
      <c r="H103" s="4"/>
      <c r="I103" s="33"/>
      <c r="J103" s="7"/>
      <c r="K103" s="46"/>
      <c r="L103" s="44">
        <f t="shared" si="14"/>
        <v>0</v>
      </c>
      <c r="M103" s="45">
        <f t="shared" si="15"/>
        <v>0</v>
      </c>
      <c r="N103" s="44">
        <f t="shared" si="16"/>
        <v>0</v>
      </c>
      <c r="O103" s="45">
        <f t="shared" si="17"/>
        <v>0</v>
      </c>
      <c r="P103" s="38"/>
    </row>
    <row r="104" spans="1:16" ht="15.6" x14ac:dyDescent="0.3">
      <c r="A104" s="10" t="s">
        <v>14</v>
      </c>
      <c r="B104" s="18" t="s">
        <v>15</v>
      </c>
      <c r="C104" s="2">
        <f>C105+C108+C109+C110+C119+C120+C121+C122</f>
        <v>0</v>
      </c>
      <c r="D104" s="28"/>
      <c r="E104" s="2">
        <f>E105+E108+E109+E110+E119+E120+E121+E122</f>
        <v>0</v>
      </c>
      <c r="F104" s="3">
        <f>F105+F108+F109+F110+F119+F120+F121+F122</f>
        <v>0</v>
      </c>
      <c r="G104" s="33"/>
      <c r="H104" s="3">
        <f>H105+H108+H109+H110+H119+H120+H121+H122</f>
        <v>0</v>
      </c>
      <c r="I104" s="33"/>
      <c r="J104" s="5">
        <f>J105+J108+J109+J110+J119+J120+J121+J122</f>
        <v>0</v>
      </c>
      <c r="K104" s="47"/>
      <c r="L104" s="44">
        <f t="shared" si="14"/>
        <v>0</v>
      </c>
      <c r="M104" s="45">
        <f t="shared" si="15"/>
        <v>0</v>
      </c>
      <c r="N104" s="44">
        <f t="shared" si="16"/>
        <v>0</v>
      </c>
      <c r="O104" s="45">
        <f t="shared" si="17"/>
        <v>0</v>
      </c>
      <c r="P104" s="12"/>
    </row>
    <row r="105" spans="1:16" ht="15.6" x14ac:dyDescent="0.3">
      <c r="A105" s="11" t="s">
        <v>16</v>
      </c>
      <c r="B105" s="18" t="s">
        <v>17</v>
      </c>
      <c r="C105" s="6">
        <f>C106+C107</f>
        <v>0</v>
      </c>
      <c r="D105" s="40">
        <f>IFERROR(C105/$C$104,0)</f>
        <v>0</v>
      </c>
      <c r="E105" s="6">
        <f>E107+E106</f>
        <v>0</v>
      </c>
      <c r="F105" s="4">
        <f>F107+F106</f>
        <v>0</v>
      </c>
      <c r="G105" s="41">
        <f>IFERROR(F105/$F$104,0)</f>
        <v>0</v>
      </c>
      <c r="H105" s="4">
        <f>H106+H107</f>
        <v>0</v>
      </c>
      <c r="I105" s="41">
        <f>IFERROR(H105/$H$104,0)</f>
        <v>0</v>
      </c>
      <c r="J105" s="7">
        <f>J106+J107</f>
        <v>0</v>
      </c>
      <c r="K105" s="42">
        <f>IFERROR(J105/$J$104,0)</f>
        <v>0</v>
      </c>
      <c r="L105" s="44">
        <f t="shared" si="14"/>
        <v>0</v>
      </c>
      <c r="M105" s="45">
        <f t="shared" si="15"/>
        <v>0</v>
      </c>
      <c r="N105" s="44">
        <f t="shared" si="16"/>
        <v>0</v>
      </c>
      <c r="O105" s="45">
        <f t="shared" si="17"/>
        <v>0</v>
      </c>
      <c r="P105" s="12"/>
    </row>
    <row r="106" spans="1:16" ht="15.6" x14ac:dyDescent="0.3">
      <c r="A106" s="1" t="s">
        <v>18</v>
      </c>
      <c r="B106" s="19" t="s">
        <v>19</v>
      </c>
      <c r="C106" s="6"/>
      <c r="D106" s="40">
        <f>IFERROR(C106/$C$104,0)</f>
        <v>0</v>
      </c>
      <c r="E106" s="6"/>
      <c r="F106" s="4"/>
      <c r="G106" s="41">
        <f>IFERROR(F106/$F$104,0)</f>
        <v>0</v>
      </c>
      <c r="H106" s="4"/>
      <c r="I106" s="41">
        <f>IFERROR(H106/$H$104,0)</f>
        <v>0</v>
      </c>
      <c r="J106" s="7"/>
      <c r="K106" s="42">
        <f>IFERROR(J106/$J$104,0)</f>
        <v>0</v>
      </c>
      <c r="L106" s="44">
        <f t="shared" si="14"/>
        <v>0</v>
      </c>
      <c r="M106" s="45">
        <f t="shared" si="15"/>
        <v>0</v>
      </c>
      <c r="N106" s="44">
        <f t="shared" si="16"/>
        <v>0</v>
      </c>
      <c r="O106" s="45">
        <f t="shared" si="17"/>
        <v>0</v>
      </c>
      <c r="P106" s="12"/>
    </row>
    <row r="107" spans="1:16" ht="15.6" x14ac:dyDescent="0.3">
      <c r="A107" s="12" t="s">
        <v>20</v>
      </c>
      <c r="B107" s="19" t="s">
        <v>21</v>
      </c>
      <c r="C107" s="6"/>
      <c r="D107" s="40">
        <f>IFERROR(C107/$C$104,0)</f>
        <v>0</v>
      </c>
      <c r="E107" s="6"/>
      <c r="F107" s="4"/>
      <c r="G107" s="41">
        <f>IFERROR(F107/$F$104,0)</f>
        <v>0</v>
      </c>
      <c r="H107" s="4"/>
      <c r="I107" s="41">
        <f>IFERROR(H107/$H$104,0)</f>
        <v>0</v>
      </c>
      <c r="J107" s="7"/>
      <c r="K107" s="42">
        <f>IFERROR(J107/$J$104,0)</f>
        <v>0</v>
      </c>
      <c r="L107" s="44">
        <f t="shared" si="14"/>
        <v>0</v>
      </c>
      <c r="M107" s="45">
        <f t="shared" si="15"/>
        <v>0</v>
      </c>
      <c r="N107" s="44">
        <f t="shared" si="16"/>
        <v>0</v>
      </c>
      <c r="O107" s="45">
        <f t="shared" si="17"/>
        <v>0</v>
      </c>
      <c r="P107" s="12"/>
    </row>
    <row r="108" spans="1:16" ht="15.6" x14ac:dyDescent="0.3">
      <c r="A108" s="1" t="s">
        <v>22</v>
      </c>
      <c r="B108" s="18" t="s">
        <v>23</v>
      </c>
      <c r="C108" s="6"/>
      <c r="D108" s="40">
        <f>IFERROR(C108/$C$104,0)</f>
        <v>0</v>
      </c>
      <c r="E108" s="6"/>
      <c r="F108" s="4"/>
      <c r="G108" s="41">
        <f>IFERROR(F108/$F$104,0)</f>
        <v>0</v>
      </c>
      <c r="H108" s="4"/>
      <c r="I108" s="41">
        <f>IFERROR(H108/$H$104,0)</f>
        <v>0</v>
      </c>
      <c r="J108" s="7"/>
      <c r="K108" s="42">
        <f>IFERROR(J108/$J$104,0)</f>
        <v>0</v>
      </c>
      <c r="L108" s="44">
        <f t="shared" si="14"/>
        <v>0</v>
      </c>
      <c r="M108" s="45">
        <f t="shared" si="15"/>
        <v>0</v>
      </c>
      <c r="N108" s="44">
        <f t="shared" si="16"/>
        <v>0</v>
      </c>
      <c r="O108" s="45">
        <f t="shared" si="17"/>
        <v>0</v>
      </c>
      <c r="P108" s="12"/>
    </row>
    <row r="109" spans="1:16" ht="15.6" x14ac:dyDescent="0.3">
      <c r="A109" s="1" t="s">
        <v>24</v>
      </c>
      <c r="B109" s="18" t="s">
        <v>25</v>
      </c>
      <c r="C109" s="6"/>
      <c r="D109" s="40">
        <f>IFERROR(C109/$C$104,0)</f>
        <v>0</v>
      </c>
      <c r="E109" s="6"/>
      <c r="F109" s="4"/>
      <c r="G109" s="41">
        <f>IFERROR(F109/$F$104,0)</f>
        <v>0</v>
      </c>
      <c r="H109" s="4"/>
      <c r="I109" s="41">
        <f>IFERROR(H109/$H$104,0)</f>
        <v>0</v>
      </c>
      <c r="J109" s="7"/>
      <c r="K109" s="42">
        <f>IFERROR(J109/$J$104,0)</f>
        <v>0</v>
      </c>
      <c r="L109" s="44">
        <f t="shared" si="14"/>
        <v>0</v>
      </c>
      <c r="M109" s="45">
        <f t="shared" si="15"/>
        <v>0</v>
      </c>
      <c r="N109" s="44">
        <f t="shared" si="16"/>
        <v>0</v>
      </c>
      <c r="O109" s="45">
        <f t="shared" si="17"/>
        <v>0</v>
      </c>
      <c r="P109" s="12"/>
    </row>
    <row r="110" spans="1:16" ht="15.6" x14ac:dyDescent="0.3">
      <c r="A110" s="1" t="s">
        <v>26</v>
      </c>
      <c r="B110" s="18" t="s">
        <v>27</v>
      </c>
      <c r="C110" s="6">
        <f>SUM(C111:C118)</f>
        <v>0</v>
      </c>
      <c r="D110" s="40">
        <f>IFERROR(C110/$C$104,0)</f>
        <v>0</v>
      </c>
      <c r="E110" s="6">
        <f>SUM(E111:E118)</f>
        <v>0</v>
      </c>
      <c r="F110" s="4">
        <f>SUM(F111:F118)</f>
        <v>0</v>
      </c>
      <c r="G110" s="41">
        <f>IFERROR(F110/$F$104,0)</f>
        <v>0</v>
      </c>
      <c r="H110" s="4">
        <f>SUM(H111:H118)</f>
        <v>0</v>
      </c>
      <c r="I110" s="41">
        <f>IFERROR(H110/$H$104,0)</f>
        <v>0</v>
      </c>
      <c r="J110" s="7">
        <f>SUM(J111:J118)</f>
        <v>0</v>
      </c>
      <c r="K110" s="42">
        <f>IFERROR(J110/$J$104,0)</f>
        <v>0</v>
      </c>
      <c r="L110" s="44">
        <f t="shared" si="14"/>
        <v>0</v>
      </c>
      <c r="M110" s="45">
        <f t="shared" si="15"/>
        <v>0</v>
      </c>
      <c r="N110" s="44">
        <f t="shared" si="16"/>
        <v>0</v>
      </c>
      <c r="O110" s="45">
        <f t="shared" si="17"/>
        <v>0</v>
      </c>
      <c r="P110" s="12"/>
    </row>
    <row r="111" spans="1:16" ht="15.6" x14ac:dyDescent="0.3">
      <c r="A111" s="1" t="s">
        <v>28</v>
      </c>
      <c r="B111" s="20" t="s">
        <v>29</v>
      </c>
      <c r="C111" s="6"/>
      <c r="D111" s="40">
        <f>IFERROR(C111/$C$104,0)</f>
        <v>0</v>
      </c>
      <c r="E111" s="6"/>
      <c r="F111" s="4"/>
      <c r="G111" s="41">
        <f>IFERROR(F111/$F$104,0)</f>
        <v>0</v>
      </c>
      <c r="H111" s="4"/>
      <c r="I111" s="41">
        <f>IFERROR(H111/$H$104,0)</f>
        <v>0</v>
      </c>
      <c r="J111" s="7"/>
      <c r="K111" s="42">
        <f>IFERROR(J111/$J$104,0)</f>
        <v>0</v>
      </c>
      <c r="L111" s="44">
        <f t="shared" si="14"/>
        <v>0</v>
      </c>
      <c r="M111" s="45">
        <f t="shared" si="15"/>
        <v>0</v>
      </c>
      <c r="N111" s="44">
        <f t="shared" si="16"/>
        <v>0</v>
      </c>
      <c r="O111" s="45">
        <f t="shared" si="17"/>
        <v>0</v>
      </c>
      <c r="P111" s="12"/>
    </row>
    <row r="112" spans="1:16" ht="15.6" x14ac:dyDescent="0.3">
      <c r="A112" s="1" t="s">
        <v>30</v>
      </c>
      <c r="B112" s="20" t="s">
        <v>31</v>
      </c>
      <c r="C112" s="6"/>
      <c r="D112" s="40">
        <f>IFERROR(C112/$C$104,0)</f>
        <v>0</v>
      </c>
      <c r="E112" s="6"/>
      <c r="F112" s="4"/>
      <c r="G112" s="41">
        <f>IFERROR(F112/$F$104,0)</f>
        <v>0</v>
      </c>
      <c r="H112" s="4"/>
      <c r="I112" s="41">
        <f>IFERROR(H112/$H$104,0)</f>
        <v>0</v>
      </c>
      <c r="J112" s="7"/>
      <c r="K112" s="42">
        <f>IFERROR(J112/$J$104,0)</f>
        <v>0</v>
      </c>
      <c r="L112" s="44">
        <f t="shared" si="14"/>
        <v>0</v>
      </c>
      <c r="M112" s="45">
        <f t="shared" si="15"/>
        <v>0</v>
      </c>
      <c r="N112" s="44">
        <f t="shared" si="16"/>
        <v>0</v>
      </c>
      <c r="O112" s="45">
        <f t="shared" si="17"/>
        <v>0</v>
      </c>
      <c r="P112" s="12"/>
    </row>
    <row r="113" spans="1:16" ht="15.6" x14ac:dyDescent="0.3">
      <c r="A113" s="1" t="s">
        <v>32</v>
      </c>
      <c r="B113" s="20" t="s">
        <v>33</v>
      </c>
      <c r="C113" s="6"/>
      <c r="D113" s="40">
        <f>IFERROR(C113/$C$104,0)</f>
        <v>0</v>
      </c>
      <c r="E113" s="6"/>
      <c r="F113" s="4"/>
      <c r="G113" s="41">
        <f>IFERROR(F113/$F$104,0)</f>
        <v>0</v>
      </c>
      <c r="H113" s="4"/>
      <c r="I113" s="41">
        <f>IFERROR(H113/$H$104,0)</f>
        <v>0</v>
      </c>
      <c r="J113" s="7"/>
      <c r="K113" s="42">
        <f>IFERROR(J113/$J$104,0)</f>
        <v>0</v>
      </c>
      <c r="L113" s="44">
        <f t="shared" si="14"/>
        <v>0</v>
      </c>
      <c r="M113" s="45">
        <f t="shared" si="15"/>
        <v>0</v>
      </c>
      <c r="N113" s="44">
        <f t="shared" si="16"/>
        <v>0</v>
      </c>
      <c r="O113" s="45">
        <f t="shared" si="17"/>
        <v>0</v>
      </c>
      <c r="P113" s="12"/>
    </row>
    <row r="114" spans="1:16" ht="15.6" x14ac:dyDescent="0.3">
      <c r="A114" s="1" t="s">
        <v>34</v>
      </c>
      <c r="B114" s="20" t="s">
        <v>35</v>
      </c>
      <c r="C114" s="6"/>
      <c r="D114" s="40">
        <f>IFERROR(C114/$C$104,0)</f>
        <v>0</v>
      </c>
      <c r="E114" s="6"/>
      <c r="F114" s="4"/>
      <c r="G114" s="41">
        <f>IFERROR(F114/$F$104,0)</f>
        <v>0</v>
      </c>
      <c r="H114" s="4"/>
      <c r="I114" s="41">
        <f>IFERROR(H114/$H$104,0)</f>
        <v>0</v>
      </c>
      <c r="J114" s="7"/>
      <c r="K114" s="42">
        <f>IFERROR(J114/$J$104,0)</f>
        <v>0</v>
      </c>
      <c r="L114" s="44">
        <f t="shared" si="14"/>
        <v>0</v>
      </c>
      <c r="M114" s="45">
        <f t="shared" si="15"/>
        <v>0</v>
      </c>
      <c r="N114" s="44">
        <f t="shared" si="16"/>
        <v>0</v>
      </c>
      <c r="O114" s="45">
        <f t="shared" si="17"/>
        <v>0</v>
      </c>
      <c r="P114" s="12"/>
    </row>
    <row r="115" spans="1:16" ht="15.6" x14ac:dyDescent="0.3">
      <c r="A115" s="1" t="s">
        <v>36</v>
      </c>
      <c r="B115" s="20" t="s">
        <v>37</v>
      </c>
      <c r="C115" s="6"/>
      <c r="D115" s="40">
        <f>IFERROR(C115/$C$104,0)</f>
        <v>0</v>
      </c>
      <c r="E115" s="6"/>
      <c r="F115" s="4"/>
      <c r="G115" s="41">
        <f>IFERROR(F115/$F$104,0)</f>
        <v>0</v>
      </c>
      <c r="H115" s="4"/>
      <c r="I115" s="41">
        <f>IFERROR(H115/$H$104,0)</f>
        <v>0</v>
      </c>
      <c r="J115" s="7"/>
      <c r="K115" s="42">
        <f>IFERROR(J115/$J$104,0)</f>
        <v>0</v>
      </c>
      <c r="L115" s="44">
        <f t="shared" si="14"/>
        <v>0</v>
      </c>
      <c r="M115" s="45">
        <f t="shared" si="15"/>
        <v>0</v>
      </c>
      <c r="N115" s="44">
        <f t="shared" si="16"/>
        <v>0</v>
      </c>
      <c r="O115" s="45">
        <f t="shared" si="17"/>
        <v>0</v>
      </c>
      <c r="P115" s="12"/>
    </row>
    <row r="116" spans="1:16" ht="27.6" x14ac:dyDescent="0.3">
      <c r="A116" s="1" t="s">
        <v>38</v>
      </c>
      <c r="B116" s="20" t="s">
        <v>39</v>
      </c>
      <c r="C116" s="6"/>
      <c r="D116" s="40">
        <f>IFERROR(C116/$C$104,0)</f>
        <v>0</v>
      </c>
      <c r="E116" s="6"/>
      <c r="F116" s="4"/>
      <c r="G116" s="41">
        <f>IFERROR(F116/$F$104,0)</f>
        <v>0</v>
      </c>
      <c r="H116" s="4"/>
      <c r="I116" s="41">
        <f>IFERROR(H116/$H$104,0)</f>
        <v>0</v>
      </c>
      <c r="J116" s="7"/>
      <c r="K116" s="42">
        <f>IFERROR(J116/$J$104,0)</f>
        <v>0</v>
      </c>
      <c r="L116" s="44">
        <f t="shared" si="14"/>
        <v>0</v>
      </c>
      <c r="M116" s="45">
        <f t="shared" si="15"/>
        <v>0</v>
      </c>
      <c r="N116" s="44">
        <f t="shared" si="16"/>
        <v>0</v>
      </c>
      <c r="O116" s="45">
        <f t="shared" si="17"/>
        <v>0</v>
      </c>
      <c r="P116" s="12"/>
    </row>
    <row r="117" spans="1:16" ht="15.6" x14ac:dyDescent="0.3">
      <c r="A117" s="1" t="s">
        <v>40</v>
      </c>
      <c r="B117" s="20" t="s">
        <v>41</v>
      </c>
      <c r="C117" s="6"/>
      <c r="D117" s="40">
        <f>IFERROR(C117/$C$104,0)</f>
        <v>0</v>
      </c>
      <c r="E117" s="6"/>
      <c r="F117" s="4"/>
      <c r="G117" s="41">
        <f>IFERROR(F117/$F$104,0)</f>
        <v>0</v>
      </c>
      <c r="H117" s="4"/>
      <c r="I117" s="41">
        <f>IFERROR(H117/$H$104,0)</f>
        <v>0</v>
      </c>
      <c r="J117" s="7"/>
      <c r="K117" s="42">
        <f>IFERROR(J117/$J$104,0)</f>
        <v>0</v>
      </c>
      <c r="L117" s="44">
        <f t="shared" si="14"/>
        <v>0</v>
      </c>
      <c r="M117" s="45">
        <f t="shared" si="15"/>
        <v>0</v>
      </c>
      <c r="N117" s="44">
        <f t="shared" si="16"/>
        <v>0</v>
      </c>
      <c r="O117" s="45">
        <f t="shared" si="17"/>
        <v>0</v>
      </c>
      <c r="P117" s="12"/>
    </row>
    <row r="118" spans="1:16" ht="15.6" x14ac:dyDescent="0.3">
      <c r="A118" s="1" t="s">
        <v>42</v>
      </c>
      <c r="B118" s="20" t="s">
        <v>43</v>
      </c>
      <c r="C118" s="6"/>
      <c r="D118" s="40">
        <f>IFERROR(C118/$C$104,0)</f>
        <v>0</v>
      </c>
      <c r="E118" s="6"/>
      <c r="F118" s="4"/>
      <c r="G118" s="41">
        <f>IFERROR(F118/$F$104,0)</f>
        <v>0</v>
      </c>
      <c r="H118" s="4"/>
      <c r="I118" s="41">
        <f>IFERROR(H118/$H$104,0)</f>
        <v>0</v>
      </c>
      <c r="J118" s="7"/>
      <c r="K118" s="42">
        <f>IFERROR(J118/$J$104,0)</f>
        <v>0</v>
      </c>
      <c r="L118" s="44">
        <f t="shared" si="14"/>
        <v>0</v>
      </c>
      <c r="M118" s="45">
        <f t="shared" si="15"/>
        <v>0</v>
      </c>
      <c r="N118" s="44">
        <f t="shared" si="16"/>
        <v>0</v>
      </c>
      <c r="O118" s="45">
        <f t="shared" si="17"/>
        <v>0</v>
      </c>
      <c r="P118" s="12"/>
    </row>
    <row r="119" spans="1:16" ht="15.6" x14ac:dyDescent="0.3">
      <c r="A119" s="1" t="s">
        <v>44</v>
      </c>
      <c r="B119" s="21" t="s">
        <v>102</v>
      </c>
      <c r="C119" s="6"/>
      <c r="D119" s="40">
        <f>IFERROR(C119/$C$104,0)</f>
        <v>0</v>
      </c>
      <c r="E119" s="6"/>
      <c r="F119" s="4"/>
      <c r="G119" s="41">
        <f>IFERROR(F119/$F$104,0)</f>
        <v>0</v>
      </c>
      <c r="H119" s="4"/>
      <c r="I119" s="41">
        <f>IFERROR(H119/$H$104,0)</f>
        <v>0</v>
      </c>
      <c r="J119" s="7"/>
      <c r="K119" s="42">
        <f>IFERROR(J119/$J$104,0)</f>
        <v>0</v>
      </c>
      <c r="L119" s="44">
        <f t="shared" si="14"/>
        <v>0</v>
      </c>
      <c r="M119" s="45">
        <f t="shared" si="15"/>
        <v>0</v>
      </c>
      <c r="N119" s="44">
        <f t="shared" si="16"/>
        <v>0</v>
      </c>
      <c r="O119" s="45">
        <f t="shared" si="17"/>
        <v>0</v>
      </c>
      <c r="P119" s="12"/>
    </row>
    <row r="120" spans="1:16" ht="15.6" x14ac:dyDescent="0.3">
      <c r="A120" s="1" t="s">
        <v>46</v>
      </c>
      <c r="B120" s="18" t="s">
        <v>47</v>
      </c>
      <c r="C120" s="6"/>
      <c r="D120" s="40">
        <f>IFERROR(C120/$C$104,0)</f>
        <v>0</v>
      </c>
      <c r="E120" s="6"/>
      <c r="F120" s="4"/>
      <c r="G120" s="41">
        <f>IFERROR(F120/$F$104,0)</f>
        <v>0</v>
      </c>
      <c r="H120" s="4"/>
      <c r="I120" s="41">
        <f>IFERROR(H120/$H$104,0)</f>
        <v>0</v>
      </c>
      <c r="J120" s="7"/>
      <c r="K120" s="42">
        <f>IFERROR(J120/$J$104,0)</f>
        <v>0</v>
      </c>
      <c r="L120" s="44">
        <f t="shared" si="14"/>
        <v>0</v>
      </c>
      <c r="M120" s="45">
        <f t="shared" si="15"/>
        <v>0</v>
      </c>
      <c r="N120" s="44">
        <f t="shared" si="16"/>
        <v>0</v>
      </c>
      <c r="O120" s="45">
        <f t="shared" si="17"/>
        <v>0</v>
      </c>
      <c r="P120" s="12"/>
    </row>
    <row r="121" spans="1:16" ht="15.6" x14ac:dyDescent="0.3">
      <c r="A121" s="1" t="s">
        <v>48</v>
      </c>
      <c r="B121" s="18" t="s">
        <v>49</v>
      </c>
      <c r="C121" s="6"/>
      <c r="D121" s="40">
        <f>IFERROR(C121/$C$104,0)</f>
        <v>0</v>
      </c>
      <c r="E121" s="6"/>
      <c r="F121" s="4"/>
      <c r="G121" s="41">
        <f>IFERROR(F121/$F$104,0)</f>
        <v>0</v>
      </c>
      <c r="H121" s="4"/>
      <c r="I121" s="41">
        <f>IFERROR(H121/$H$104,0)</f>
        <v>0</v>
      </c>
      <c r="J121" s="7"/>
      <c r="K121" s="42">
        <f>IFERROR(J121/$J$104,0)</f>
        <v>0</v>
      </c>
      <c r="L121" s="44">
        <f t="shared" si="14"/>
        <v>0</v>
      </c>
      <c r="M121" s="45">
        <f t="shared" si="15"/>
        <v>0</v>
      </c>
      <c r="N121" s="44">
        <f t="shared" si="16"/>
        <v>0</v>
      </c>
      <c r="O121" s="45">
        <f t="shared" si="17"/>
        <v>0</v>
      </c>
      <c r="P121" s="12"/>
    </row>
    <row r="122" spans="1:16" ht="15.6" x14ac:dyDescent="0.3">
      <c r="A122" s="10" t="s">
        <v>50</v>
      </c>
      <c r="B122" s="18" t="s">
        <v>51</v>
      </c>
      <c r="C122" s="2">
        <f>SUM(C123:C144)</f>
        <v>0</v>
      </c>
      <c r="D122" s="40">
        <f>IFERROR(C122/$C$104,0)</f>
        <v>0</v>
      </c>
      <c r="E122" s="2">
        <f>SUM(E123:E144)</f>
        <v>0</v>
      </c>
      <c r="F122" s="3">
        <f>SUM(F123:F144)</f>
        <v>0</v>
      </c>
      <c r="G122" s="41">
        <f>IFERROR(F122/$F$104,0)</f>
        <v>0</v>
      </c>
      <c r="H122" s="3">
        <f>SUM(H123:H144)</f>
        <v>0</v>
      </c>
      <c r="I122" s="41">
        <f>IFERROR(H122/$H$104,0)</f>
        <v>0</v>
      </c>
      <c r="J122" s="5">
        <f>SUM(J123:J144)</f>
        <v>0</v>
      </c>
      <c r="K122" s="42">
        <f>IFERROR(J122/$J$104,0)</f>
        <v>0</v>
      </c>
      <c r="L122" s="44">
        <f t="shared" si="14"/>
        <v>0</v>
      </c>
      <c r="M122" s="45">
        <f t="shared" si="15"/>
        <v>0</v>
      </c>
      <c r="N122" s="44">
        <f t="shared" si="16"/>
        <v>0</v>
      </c>
      <c r="O122" s="45">
        <f t="shared" si="17"/>
        <v>0</v>
      </c>
      <c r="P122" s="12"/>
    </row>
    <row r="123" spans="1:16" ht="15.6" x14ac:dyDescent="0.3">
      <c r="A123" s="1" t="s">
        <v>52</v>
      </c>
      <c r="B123" s="21" t="s">
        <v>53</v>
      </c>
      <c r="C123" s="8"/>
      <c r="D123" s="40">
        <f>IFERROR(C123/$C$104,0)</f>
        <v>0</v>
      </c>
      <c r="E123" s="6"/>
      <c r="F123" s="4"/>
      <c r="G123" s="41">
        <f>IFERROR(F123/$F$104,0)</f>
        <v>0</v>
      </c>
      <c r="H123" s="4"/>
      <c r="I123" s="41">
        <f>IFERROR(H123/$H$104,0)</f>
        <v>0</v>
      </c>
      <c r="J123" s="7"/>
      <c r="K123" s="42">
        <f>IFERROR(J123/$J$104,0)</f>
        <v>0</v>
      </c>
      <c r="L123" s="44">
        <f t="shared" si="14"/>
        <v>0</v>
      </c>
      <c r="M123" s="45">
        <f t="shared" si="15"/>
        <v>0</v>
      </c>
      <c r="N123" s="44">
        <f t="shared" si="16"/>
        <v>0</v>
      </c>
      <c r="O123" s="45">
        <f t="shared" si="17"/>
        <v>0</v>
      </c>
      <c r="P123" s="12"/>
    </row>
    <row r="124" spans="1:16" ht="15.6" x14ac:dyDescent="0.3">
      <c r="A124" s="1" t="s">
        <v>54</v>
      </c>
      <c r="B124" s="21" t="s">
        <v>55</v>
      </c>
      <c r="C124" s="6"/>
      <c r="D124" s="40">
        <f>IFERROR(C124/$C$104,0)</f>
        <v>0</v>
      </c>
      <c r="E124" s="6"/>
      <c r="F124" s="4"/>
      <c r="G124" s="41">
        <f>IFERROR(F124/$F$104,0)</f>
        <v>0</v>
      </c>
      <c r="H124" s="4"/>
      <c r="I124" s="41">
        <f>IFERROR(H124/$H$104,0)</f>
        <v>0</v>
      </c>
      <c r="J124" s="7"/>
      <c r="K124" s="42">
        <f>IFERROR(J124/$J$104,0)</f>
        <v>0</v>
      </c>
      <c r="L124" s="44">
        <f t="shared" si="14"/>
        <v>0</v>
      </c>
      <c r="M124" s="45">
        <f t="shared" si="15"/>
        <v>0</v>
      </c>
      <c r="N124" s="44">
        <f t="shared" si="16"/>
        <v>0</v>
      </c>
      <c r="O124" s="45">
        <f t="shared" si="17"/>
        <v>0</v>
      </c>
      <c r="P124" s="12"/>
    </row>
    <row r="125" spans="1:16" ht="15.6" x14ac:dyDescent="0.3">
      <c r="A125" s="1" t="s">
        <v>56</v>
      </c>
      <c r="B125" s="21" t="s">
        <v>57</v>
      </c>
      <c r="C125" s="6"/>
      <c r="D125" s="40">
        <f>IFERROR(C125/$C$104,0)</f>
        <v>0</v>
      </c>
      <c r="E125" s="6"/>
      <c r="F125" s="4"/>
      <c r="G125" s="41">
        <f>IFERROR(F125/$F$104,0)</f>
        <v>0</v>
      </c>
      <c r="H125" s="4"/>
      <c r="I125" s="41">
        <f>IFERROR(H125/$H$104,0)</f>
        <v>0</v>
      </c>
      <c r="J125" s="7"/>
      <c r="K125" s="42">
        <f>IFERROR(J125/$J$104,0)</f>
        <v>0</v>
      </c>
      <c r="L125" s="44">
        <f t="shared" si="14"/>
        <v>0</v>
      </c>
      <c r="M125" s="45">
        <f t="shared" si="15"/>
        <v>0</v>
      </c>
      <c r="N125" s="44">
        <f t="shared" si="16"/>
        <v>0</v>
      </c>
      <c r="O125" s="45">
        <f t="shared" si="17"/>
        <v>0</v>
      </c>
      <c r="P125" s="12"/>
    </row>
    <row r="126" spans="1:16" ht="15.6" x14ac:dyDescent="0.3">
      <c r="A126" s="1" t="s">
        <v>58</v>
      </c>
      <c r="B126" s="21" t="s">
        <v>59</v>
      </c>
      <c r="C126" s="8"/>
      <c r="D126" s="40">
        <f>IFERROR(C126/$C$104,0)</f>
        <v>0</v>
      </c>
      <c r="E126" s="6"/>
      <c r="F126" s="4"/>
      <c r="G126" s="41">
        <f>IFERROR(F126/$F$104,0)</f>
        <v>0</v>
      </c>
      <c r="H126" s="4"/>
      <c r="I126" s="41">
        <f>IFERROR(H126/$H$104,0)</f>
        <v>0</v>
      </c>
      <c r="J126" s="7"/>
      <c r="K126" s="42">
        <f>IFERROR(J126/$J$104,0)</f>
        <v>0</v>
      </c>
      <c r="L126" s="44">
        <f t="shared" si="14"/>
        <v>0</v>
      </c>
      <c r="M126" s="45">
        <f t="shared" si="15"/>
        <v>0</v>
      </c>
      <c r="N126" s="44">
        <f t="shared" si="16"/>
        <v>0</v>
      </c>
      <c r="O126" s="45">
        <f t="shared" si="17"/>
        <v>0</v>
      </c>
      <c r="P126" s="12"/>
    </row>
    <row r="127" spans="1:16" ht="15.6" x14ac:dyDescent="0.3">
      <c r="A127" s="1" t="s">
        <v>60</v>
      </c>
      <c r="B127" s="21" t="s">
        <v>61</v>
      </c>
      <c r="C127" s="6"/>
      <c r="D127" s="40">
        <f>IFERROR(C127/$C$104,0)</f>
        <v>0</v>
      </c>
      <c r="E127" s="6"/>
      <c r="F127" s="4"/>
      <c r="G127" s="41">
        <f>IFERROR(F127/$F$104,0)</f>
        <v>0</v>
      </c>
      <c r="H127" s="4"/>
      <c r="I127" s="41">
        <f>IFERROR(H127/$H$104,0)</f>
        <v>0</v>
      </c>
      <c r="J127" s="7"/>
      <c r="K127" s="42">
        <f>IFERROR(J127/$J$104,0)</f>
        <v>0</v>
      </c>
      <c r="L127" s="44">
        <f t="shared" si="14"/>
        <v>0</v>
      </c>
      <c r="M127" s="45">
        <f t="shared" si="15"/>
        <v>0</v>
      </c>
      <c r="N127" s="44">
        <f t="shared" si="16"/>
        <v>0</v>
      </c>
      <c r="O127" s="45">
        <f t="shared" si="17"/>
        <v>0</v>
      </c>
      <c r="P127" s="12"/>
    </row>
    <row r="128" spans="1:16" ht="15.6" x14ac:dyDescent="0.3">
      <c r="A128" s="1" t="s">
        <v>62</v>
      </c>
      <c r="B128" s="21" t="s">
        <v>63</v>
      </c>
      <c r="C128" s="8"/>
      <c r="D128" s="40">
        <f>IFERROR(C128/$C$104,0)</f>
        <v>0</v>
      </c>
      <c r="E128" s="6"/>
      <c r="F128" s="4"/>
      <c r="G128" s="41">
        <f>IFERROR(F128/$F$104,0)</f>
        <v>0</v>
      </c>
      <c r="H128" s="4"/>
      <c r="I128" s="41">
        <f>IFERROR(H128/$H$104,0)</f>
        <v>0</v>
      </c>
      <c r="J128" s="7"/>
      <c r="K128" s="42">
        <f>IFERROR(J128/$J$104,0)</f>
        <v>0</v>
      </c>
      <c r="L128" s="44">
        <f t="shared" si="14"/>
        <v>0</v>
      </c>
      <c r="M128" s="45">
        <f t="shared" si="15"/>
        <v>0</v>
      </c>
      <c r="N128" s="44">
        <f t="shared" si="16"/>
        <v>0</v>
      </c>
      <c r="O128" s="45">
        <f t="shared" si="17"/>
        <v>0</v>
      </c>
      <c r="P128" s="12"/>
    </row>
    <row r="129" spans="1:16" ht="15.6" x14ac:dyDescent="0.3">
      <c r="A129" s="1" t="s">
        <v>64</v>
      </c>
      <c r="B129" s="21" t="s">
        <v>65</v>
      </c>
      <c r="C129" s="6"/>
      <c r="D129" s="40">
        <f>IFERROR(C129/$C$104,0)</f>
        <v>0</v>
      </c>
      <c r="E129" s="6"/>
      <c r="F129" s="4"/>
      <c r="G129" s="41">
        <f>IFERROR(F129/$F$104,0)</f>
        <v>0</v>
      </c>
      <c r="H129" s="4"/>
      <c r="I129" s="41">
        <f>IFERROR(H129/$H$104,0)</f>
        <v>0</v>
      </c>
      <c r="J129" s="7"/>
      <c r="K129" s="42">
        <f>IFERROR(J129/$J$104,0)</f>
        <v>0</v>
      </c>
      <c r="L129" s="44">
        <f t="shared" si="14"/>
        <v>0</v>
      </c>
      <c r="M129" s="45">
        <f t="shared" si="15"/>
        <v>0</v>
      </c>
      <c r="N129" s="44">
        <f t="shared" si="16"/>
        <v>0</v>
      </c>
      <c r="O129" s="45">
        <f t="shared" si="17"/>
        <v>0</v>
      </c>
      <c r="P129" s="12"/>
    </row>
    <row r="130" spans="1:16" ht="15.6" x14ac:dyDescent="0.3">
      <c r="A130" s="1" t="s">
        <v>66</v>
      </c>
      <c r="B130" s="21" t="s">
        <v>67</v>
      </c>
      <c r="C130" s="8"/>
      <c r="D130" s="40">
        <f>IFERROR(C130/$C$104,0)</f>
        <v>0</v>
      </c>
      <c r="E130" s="6"/>
      <c r="F130" s="4"/>
      <c r="G130" s="41">
        <f>IFERROR(F130/$F$104,0)</f>
        <v>0</v>
      </c>
      <c r="H130" s="4"/>
      <c r="I130" s="41">
        <f>IFERROR(H130/$H$104,0)</f>
        <v>0</v>
      </c>
      <c r="J130" s="7"/>
      <c r="K130" s="42">
        <f>IFERROR(J130/$J$104,0)</f>
        <v>0</v>
      </c>
      <c r="L130" s="44">
        <f t="shared" si="14"/>
        <v>0</v>
      </c>
      <c r="M130" s="45">
        <f t="shared" si="15"/>
        <v>0</v>
      </c>
      <c r="N130" s="44">
        <f t="shared" si="16"/>
        <v>0</v>
      </c>
      <c r="O130" s="45">
        <f t="shared" si="17"/>
        <v>0</v>
      </c>
      <c r="P130" s="12"/>
    </row>
    <row r="131" spans="1:16" ht="15.6" x14ac:dyDescent="0.3">
      <c r="A131" s="1" t="s">
        <v>68</v>
      </c>
      <c r="B131" s="21" t="s">
        <v>69</v>
      </c>
      <c r="C131" s="8"/>
      <c r="D131" s="40">
        <f>IFERROR(C131/$C$104,0)</f>
        <v>0</v>
      </c>
      <c r="E131" s="6"/>
      <c r="F131" s="4"/>
      <c r="G131" s="41">
        <f>IFERROR(F131/$F$104,0)</f>
        <v>0</v>
      </c>
      <c r="H131" s="4"/>
      <c r="I131" s="41">
        <f>IFERROR(H131/$H$104,0)</f>
        <v>0</v>
      </c>
      <c r="J131" s="7"/>
      <c r="K131" s="42">
        <f>IFERROR(J131/$J$104,0)</f>
        <v>0</v>
      </c>
      <c r="L131" s="44">
        <f t="shared" si="14"/>
        <v>0</v>
      </c>
      <c r="M131" s="45">
        <f t="shared" si="15"/>
        <v>0</v>
      </c>
      <c r="N131" s="44">
        <f t="shared" si="16"/>
        <v>0</v>
      </c>
      <c r="O131" s="45">
        <f t="shared" si="17"/>
        <v>0</v>
      </c>
      <c r="P131" s="12"/>
    </row>
    <row r="132" spans="1:16" ht="15.6" x14ac:dyDescent="0.3">
      <c r="A132" s="1" t="s">
        <v>70</v>
      </c>
      <c r="B132" s="21" t="s">
        <v>71</v>
      </c>
      <c r="C132" s="8"/>
      <c r="D132" s="40">
        <f>IFERROR(C132/$C$104,0)</f>
        <v>0</v>
      </c>
      <c r="E132" s="6"/>
      <c r="F132" s="4"/>
      <c r="G132" s="41">
        <f>IFERROR(F132/$F$104,0)</f>
        <v>0</v>
      </c>
      <c r="H132" s="4"/>
      <c r="I132" s="41">
        <f>IFERROR(H132/$H$104,0)</f>
        <v>0</v>
      </c>
      <c r="J132" s="7"/>
      <c r="K132" s="42">
        <f>IFERROR(J132/$J$104,0)</f>
        <v>0</v>
      </c>
      <c r="L132" s="44">
        <f t="shared" si="14"/>
        <v>0</v>
      </c>
      <c r="M132" s="45">
        <f t="shared" si="15"/>
        <v>0</v>
      </c>
      <c r="N132" s="44">
        <f t="shared" si="16"/>
        <v>0</v>
      </c>
      <c r="O132" s="45">
        <f t="shared" si="17"/>
        <v>0</v>
      </c>
      <c r="P132" s="12"/>
    </row>
    <row r="133" spans="1:16" ht="15.6" x14ac:dyDescent="0.3">
      <c r="A133" s="1" t="s">
        <v>72</v>
      </c>
      <c r="B133" s="21" t="s">
        <v>73</v>
      </c>
      <c r="C133" s="8"/>
      <c r="D133" s="40">
        <f>IFERROR(C133/$C$104,0)</f>
        <v>0</v>
      </c>
      <c r="E133" s="6"/>
      <c r="F133" s="4"/>
      <c r="G133" s="41">
        <f>IFERROR(F133/$F$104,0)</f>
        <v>0</v>
      </c>
      <c r="H133" s="4"/>
      <c r="I133" s="41">
        <f>IFERROR(H133/$H$104,0)</f>
        <v>0</v>
      </c>
      <c r="J133" s="7"/>
      <c r="K133" s="42">
        <f>IFERROR(J133/$J$104,0)</f>
        <v>0</v>
      </c>
      <c r="L133" s="44">
        <f t="shared" si="14"/>
        <v>0</v>
      </c>
      <c r="M133" s="45">
        <f t="shared" si="15"/>
        <v>0</v>
      </c>
      <c r="N133" s="44">
        <f t="shared" si="16"/>
        <v>0</v>
      </c>
      <c r="O133" s="45">
        <f t="shared" si="17"/>
        <v>0</v>
      </c>
      <c r="P133" s="12"/>
    </row>
    <row r="134" spans="1:16" ht="15.6" x14ac:dyDescent="0.3">
      <c r="A134" s="13" t="s">
        <v>74</v>
      </c>
      <c r="B134" s="21" t="s">
        <v>75</v>
      </c>
      <c r="C134" s="6"/>
      <c r="D134" s="40">
        <f>IFERROR(C134/$C$104,0)</f>
        <v>0</v>
      </c>
      <c r="E134" s="6"/>
      <c r="F134" s="4"/>
      <c r="G134" s="41">
        <f>IFERROR(F134/$F$104,0)</f>
        <v>0</v>
      </c>
      <c r="H134" s="4"/>
      <c r="I134" s="41">
        <f>IFERROR(H134/$H$104,0)</f>
        <v>0</v>
      </c>
      <c r="J134" s="7"/>
      <c r="K134" s="42">
        <f>IFERROR(J134/$J$104,0)</f>
        <v>0</v>
      </c>
      <c r="L134" s="44">
        <f t="shared" si="14"/>
        <v>0</v>
      </c>
      <c r="M134" s="45">
        <f t="shared" si="15"/>
        <v>0</v>
      </c>
      <c r="N134" s="44">
        <f t="shared" si="16"/>
        <v>0</v>
      </c>
      <c r="O134" s="45">
        <f t="shared" si="17"/>
        <v>0</v>
      </c>
      <c r="P134" s="12"/>
    </row>
    <row r="135" spans="1:16" ht="15.6" x14ac:dyDescent="0.3">
      <c r="A135" s="1" t="s">
        <v>76</v>
      </c>
      <c r="B135" s="21" t="s">
        <v>77</v>
      </c>
      <c r="C135" s="8"/>
      <c r="D135" s="40">
        <f>IFERROR(C135/$C$104,0)</f>
        <v>0</v>
      </c>
      <c r="E135" s="6"/>
      <c r="F135" s="4"/>
      <c r="G135" s="41">
        <f>IFERROR(F135/$F$104,0)</f>
        <v>0</v>
      </c>
      <c r="H135" s="4"/>
      <c r="I135" s="41">
        <f>IFERROR(H135/$H$104,0)</f>
        <v>0</v>
      </c>
      <c r="J135" s="7"/>
      <c r="K135" s="42">
        <f>IFERROR(J135/$J$104,0)</f>
        <v>0</v>
      </c>
      <c r="L135" s="44">
        <f t="shared" si="14"/>
        <v>0</v>
      </c>
      <c r="M135" s="45">
        <f t="shared" si="15"/>
        <v>0</v>
      </c>
      <c r="N135" s="44">
        <f t="shared" si="16"/>
        <v>0</v>
      </c>
      <c r="O135" s="45">
        <f t="shared" si="17"/>
        <v>0</v>
      </c>
      <c r="P135" s="12"/>
    </row>
    <row r="136" spans="1:16" ht="15.6" x14ac:dyDescent="0.3">
      <c r="A136" s="12" t="s">
        <v>78</v>
      </c>
      <c r="B136" s="21" t="s">
        <v>79</v>
      </c>
      <c r="C136" s="8"/>
      <c r="D136" s="40">
        <f>IFERROR(C136/$C$104,0)</f>
        <v>0</v>
      </c>
      <c r="E136" s="6"/>
      <c r="F136" s="4"/>
      <c r="G136" s="41">
        <f>IFERROR(F136/$F$104,0)</f>
        <v>0</v>
      </c>
      <c r="H136" s="4"/>
      <c r="I136" s="41">
        <f>IFERROR(H136/$H$104,0)</f>
        <v>0</v>
      </c>
      <c r="J136" s="7"/>
      <c r="K136" s="42">
        <f>IFERROR(J136/$J$104,0)</f>
        <v>0</v>
      </c>
      <c r="L136" s="44">
        <f t="shared" si="14"/>
        <v>0</v>
      </c>
      <c r="M136" s="45">
        <f t="shared" si="15"/>
        <v>0</v>
      </c>
      <c r="N136" s="44">
        <f t="shared" si="16"/>
        <v>0</v>
      </c>
      <c r="O136" s="45">
        <f t="shared" si="17"/>
        <v>0</v>
      </c>
      <c r="P136" s="12"/>
    </row>
    <row r="137" spans="1:16" ht="15.6" x14ac:dyDescent="0.3">
      <c r="A137" s="1" t="s">
        <v>80</v>
      </c>
      <c r="B137" s="21" t="s">
        <v>81</v>
      </c>
      <c r="C137" s="6"/>
      <c r="D137" s="40">
        <f>IFERROR(C137/$C$104,0)</f>
        <v>0</v>
      </c>
      <c r="E137" s="6"/>
      <c r="F137" s="4"/>
      <c r="G137" s="41">
        <f>IFERROR(F137/$F$104,0)</f>
        <v>0</v>
      </c>
      <c r="H137" s="4"/>
      <c r="I137" s="41">
        <f>IFERROR(H137/$H$104,0)</f>
        <v>0</v>
      </c>
      <c r="J137" s="7"/>
      <c r="K137" s="42">
        <f>IFERROR(J137/$J$104,0)</f>
        <v>0</v>
      </c>
      <c r="L137" s="44">
        <f t="shared" si="14"/>
        <v>0</v>
      </c>
      <c r="M137" s="45">
        <f t="shared" si="15"/>
        <v>0</v>
      </c>
      <c r="N137" s="44">
        <f t="shared" si="16"/>
        <v>0</v>
      </c>
      <c r="O137" s="45">
        <f t="shared" si="17"/>
        <v>0</v>
      </c>
      <c r="P137" s="12"/>
    </row>
    <row r="138" spans="1:16" ht="15.6" x14ac:dyDescent="0.3">
      <c r="A138" s="12" t="s">
        <v>82</v>
      </c>
      <c r="B138" s="21" t="s">
        <v>83</v>
      </c>
      <c r="C138" s="6"/>
      <c r="D138" s="40">
        <f>IFERROR(C138/$C$104,0)</f>
        <v>0</v>
      </c>
      <c r="E138" s="6"/>
      <c r="F138" s="4"/>
      <c r="G138" s="41">
        <f>IFERROR(F138/$F$104,0)</f>
        <v>0</v>
      </c>
      <c r="H138" s="4"/>
      <c r="I138" s="41">
        <f>IFERROR(H138/$H$104,0)</f>
        <v>0</v>
      </c>
      <c r="J138" s="7"/>
      <c r="K138" s="42">
        <f>IFERROR(J138/$J$104,0)</f>
        <v>0</v>
      </c>
      <c r="L138" s="44">
        <f t="shared" si="14"/>
        <v>0</v>
      </c>
      <c r="M138" s="45">
        <f t="shared" si="15"/>
        <v>0</v>
      </c>
      <c r="N138" s="44">
        <f t="shared" si="16"/>
        <v>0</v>
      </c>
      <c r="O138" s="45">
        <f t="shared" si="17"/>
        <v>0</v>
      </c>
      <c r="P138" s="12"/>
    </row>
    <row r="139" spans="1:16" ht="15.6" x14ac:dyDescent="0.3">
      <c r="A139" s="1" t="s">
        <v>84</v>
      </c>
      <c r="B139" s="21" t="s">
        <v>85</v>
      </c>
      <c r="C139" s="6"/>
      <c r="D139" s="40">
        <f>IFERROR(C139/$C$104,0)</f>
        <v>0</v>
      </c>
      <c r="E139" s="6"/>
      <c r="F139" s="4"/>
      <c r="G139" s="41">
        <f>IFERROR(F139/$F$104,0)</f>
        <v>0</v>
      </c>
      <c r="H139" s="4"/>
      <c r="I139" s="41">
        <f>IFERROR(H139/$H$104,0)</f>
        <v>0</v>
      </c>
      <c r="J139" s="7"/>
      <c r="K139" s="42">
        <f>IFERROR(J139/$J$104,0)</f>
        <v>0</v>
      </c>
      <c r="L139" s="44">
        <f t="shared" si="14"/>
        <v>0</v>
      </c>
      <c r="M139" s="45">
        <f t="shared" si="15"/>
        <v>0</v>
      </c>
      <c r="N139" s="44">
        <f t="shared" si="16"/>
        <v>0</v>
      </c>
      <c r="O139" s="45">
        <f t="shared" si="17"/>
        <v>0</v>
      </c>
      <c r="P139" s="12"/>
    </row>
    <row r="140" spans="1:16" ht="15.6" x14ac:dyDescent="0.3">
      <c r="A140" s="1" t="s">
        <v>86</v>
      </c>
      <c r="B140" s="21" t="s">
        <v>87</v>
      </c>
      <c r="C140" s="8"/>
      <c r="D140" s="40">
        <f>IFERROR(C140/$C$104,0)</f>
        <v>0</v>
      </c>
      <c r="E140" s="6"/>
      <c r="F140" s="4"/>
      <c r="G140" s="41">
        <f>IFERROR(F140/$F$104,0)</f>
        <v>0</v>
      </c>
      <c r="H140" s="4"/>
      <c r="I140" s="41">
        <f>IFERROR(H140/$H$104,0)</f>
        <v>0</v>
      </c>
      <c r="J140" s="7"/>
      <c r="K140" s="42">
        <f>IFERROR(J140/$J$104,0)</f>
        <v>0</v>
      </c>
      <c r="L140" s="44">
        <f t="shared" si="14"/>
        <v>0</v>
      </c>
      <c r="M140" s="45">
        <f t="shared" si="15"/>
        <v>0</v>
      </c>
      <c r="N140" s="44">
        <f t="shared" si="16"/>
        <v>0</v>
      </c>
      <c r="O140" s="45">
        <f t="shared" si="17"/>
        <v>0</v>
      </c>
      <c r="P140" s="12"/>
    </row>
    <row r="141" spans="1:16" ht="15.6" x14ac:dyDescent="0.3">
      <c r="A141" s="1" t="s">
        <v>88</v>
      </c>
      <c r="B141" s="21" t="s">
        <v>89</v>
      </c>
      <c r="C141" s="8"/>
      <c r="D141" s="40">
        <f>IFERROR(C141/$C$104,0)</f>
        <v>0</v>
      </c>
      <c r="E141" s="6"/>
      <c r="F141" s="4"/>
      <c r="G141" s="41">
        <f>IFERROR(F141/$F$104,0)</f>
        <v>0</v>
      </c>
      <c r="H141" s="4"/>
      <c r="I141" s="41">
        <f>IFERROR(H141/$H$104,0)</f>
        <v>0</v>
      </c>
      <c r="J141" s="7"/>
      <c r="K141" s="42">
        <f>IFERROR(J141/$J$104,0)</f>
        <v>0</v>
      </c>
      <c r="L141" s="44">
        <f t="shared" si="14"/>
        <v>0</v>
      </c>
      <c r="M141" s="45">
        <f t="shared" si="15"/>
        <v>0</v>
      </c>
      <c r="N141" s="44">
        <f t="shared" si="16"/>
        <v>0</v>
      </c>
      <c r="O141" s="45">
        <f t="shared" si="17"/>
        <v>0</v>
      </c>
      <c r="P141" s="12"/>
    </row>
    <row r="142" spans="1:16" ht="15.6" x14ac:dyDescent="0.3">
      <c r="A142" s="1" t="s">
        <v>90</v>
      </c>
      <c r="B142" s="21" t="s">
        <v>91</v>
      </c>
      <c r="C142" s="6"/>
      <c r="D142" s="40">
        <f>IFERROR(C142/$C$104,0)</f>
        <v>0</v>
      </c>
      <c r="E142" s="6"/>
      <c r="F142" s="4"/>
      <c r="G142" s="41">
        <f>IFERROR(F142/$F$104,0)</f>
        <v>0</v>
      </c>
      <c r="H142" s="4"/>
      <c r="I142" s="41">
        <f>IFERROR(H142/$H$104,0)</f>
        <v>0</v>
      </c>
      <c r="J142" s="7"/>
      <c r="K142" s="42">
        <f>IFERROR(J142/$J$104,0)</f>
        <v>0</v>
      </c>
      <c r="L142" s="44">
        <f t="shared" si="14"/>
        <v>0</v>
      </c>
      <c r="M142" s="45">
        <f t="shared" si="15"/>
        <v>0</v>
      </c>
      <c r="N142" s="44">
        <f t="shared" si="16"/>
        <v>0</v>
      </c>
      <c r="O142" s="45">
        <f t="shared" si="17"/>
        <v>0</v>
      </c>
      <c r="P142" s="12"/>
    </row>
    <row r="143" spans="1:16" ht="15.6" x14ac:dyDescent="0.3">
      <c r="A143" s="1" t="s">
        <v>92</v>
      </c>
      <c r="B143" s="21" t="s">
        <v>93</v>
      </c>
      <c r="C143" s="8"/>
      <c r="D143" s="40">
        <f>IFERROR(C143/$C$104,0)</f>
        <v>0</v>
      </c>
      <c r="E143" s="6"/>
      <c r="F143" s="4"/>
      <c r="G143" s="41">
        <f>IFERROR(F143/$F$104,0)</f>
        <v>0</v>
      </c>
      <c r="H143" s="4"/>
      <c r="I143" s="41">
        <f>IFERROR(H143/$H$104,0)</f>
        <v>0</v>
      </c>
      <c r="J143" s="7"/>
      <c r="K143" s="42">
        <f>IFERROR(J143/$J$104,0)</f>
        <v>0</v>
      </c>
      <c r="L143" s="44">
        <f t="shared" si="14"/>
        <v>0</v>
      </c>
      <c r="M143" s="45">
        <f t="shared" si="15"/>
        <v>0</v>
      </c>
      <c r="N143" s="44">
        <f t="shared" si="16"/>
        <v>0</v>
      </c>
      <c r="O143" s="45">
        <f t="shared" si="17"/>
        <v>0</v>
      </c>
      <c r="P143" s="12"/>
    </row>
    <row r="144" spans="1:16" ht="15.6" x14ac:dyDescent="0.3">
      <c r="A144" s="1" t="s">
        <v>94</v>
      </c>
      <c r="B144" s="21" t="s">
        <v>95</v>
      </c>
      <c r="C144" s="8"/>
      <c r="D144" s="40">
        <f>IFERROR(C144/$C$104,0)</f>
        <v>0</v>
      </c>
      <c r="E144" s="6"/>
      <c r="F144" s="4"/>
      <c r="G144" s="41">
        <f>IFERROR(F144/$F$104,0)</f>
        <v>0</v>
      </c>
      <c r="H144" s="4"/>
      <c r="I144" s="41">
        <f>IFERROR(H144/$H$104,0)</f>
        <v>0</v>
      </c>
      <c r="J144" s="7"/>
      <c r="K144" s="42">
        <f>IFERROR(J144/$J$104,0)</f>
        <v>0</v>
      </c>
      <c r="L144" s="44">
        <f t="shared" si="14"/>
        <v>0</v>
      </c>
      <c r="M144" s="45">
        <f t="shared" si="15"/>
        <v>0</v>
      </c>
      <c r="N144" s="44">
        <f t="shared" si="16"/>
        <v>0</v>
      </c>
      <c r="O144" s="45">
        <f t="shared" si="17"/>
        <v>0</v>
      </c>
      <c r="P144" s="12"/>
    </row>
    <row r="145" spans="1:16" ht="15.6" x14ac:dyDescent="0.3">
      <c r="A145" s="14" t="s">
        <v>96</v>
      </c>
      <c r="B145" s="22" t="s">
        <v>97</v>
      </c>
      <c r="C145" s="65">
        <f>C101-C104</f>
        <v>0</v>
      </c>
      <c r="D145" s="55"/>
      <c r="E145" s="2">
        <f>E101-E104</f>
        <v>0</v>
      </c>
      <c r="F145" s="56">
        <f>F101-F104</f>
        <v>0</v>
      </c>
      <c r="G145" s="55"/>
      <c r="H145" s="56">
        <f>H101-H104</f>
        <v>0</v>
      </c>
      <c r="I145" s="55"/>
      <c r="J145" s="64">
        <f>J101-J104</f>
        <v>0</v>
      </c>
      <c r="K145" s="55"/>
      <c r="L145" s="44">
        <f t="shared" si="14"/>
        <v>0</v>
      </c>
      <c r="M145" s="45">
        <f t="shared" si="15"/>
        <v>0</v>
      </c>
      <c r="N145" s="44">
        <f t="shared" si="16"/>
        <v>0</v>
      </c>
      <c r="O145" s="45">
        <f t="shared" si="17"/>
        <v>0</v>
      </c>
      <c r="P145" s="12"/>
    </row>
    <row r="146" spans="1:16" x14ac:dyDescent="0.3">
      <c r="A146" s="15" t="s">
        <v>98</v>
      </c>
      <c r="B146" s="22" t="s">
        <v>99</v>
      </c>
      <c r="C146" s="57">
        <f>IFERROR(C145/C101,0)</f>
        <v>0</v>
      </c>
      <c r="D146" s="55"/>
      <c r="E146" s="39">
        <f>IFERROR(E145/E101,0)</f>
        <v>0</v>
      </c>
      <c r="F146" s="63">
        <f>IFERROR(F145/F101,0)</f>
        <v>0</v>
      </c>
      <c r="G146" s="55"/>
      <c r="H146" s="63">
        <f>IFERROR(H145/H101,0)</f>
        <v>0</v>
      </c>
      <c r="I146" s="55"/>
      <c r="J146" s="66">
        <f>IFERROR(J145/J101,0)</f>
        <v>0</v>
      </c>
      <c r="K146" s="55"/>
    </row>
  </sheetData>
  <mergeCells count="51">
    <mergeCell ref="B99:B100"/>
    <mergeCell ref="J99:K99"/>
    <mergeCell ref="H96:I96"/>
    <mergeCell ref="J96:K96"/>
    <mergeCell ref="F146:G146"/>
    <mergeCell ref="C146:D146"/>
    <mergeCell ref="F97:G97"/>
    <mergeCell ref="F96:G96"/>
    <mergeCell ref="J97:K97"/>
    <mergeCell ref="H146:I146"/>
    <mergeCell ref="J146:K146"/>
    <mergeCell ref="C96:D96"/>
    <mergeCell ref="E99:E100"/>
    <mergeCell ref="C99:D99"/>
    <mergeCell ref="J145:K145"/>
    <mergeCell ref="H97:I97"/>
    <mergeCell ref="H99:I99"/>
    <mergeCell ref="F99:G99"/>
    <mergeCell ref="C145:D145"/>
    <mergeCell ref="F145:G145"/>
    <mergeCell ref="H145:I145"/>
    <mergeCell ref="A50:A51"/>
    <mergeCell ref="J1:K1"/>
    <mergeCell ref="H48:I48"/>
    <mergeCell ref="E1:E2"/>
    <mergeCell ref="H47:I47"/>
    <mergeCell ref="C48:D48"/>
    <mergeCell ref="J47:K47"/>
    <mergeCell ref="F48:G48"/>
    <mergeCell ref="C47:D47"/>
    <mergeCell ref="J48:K48"/>
    <mergeCell ref="H1:I1"/>
    <mergeCell ref="H50:I50"/>
    <mergeCell ref="J50:K50"/>
    <mergeCell ref="C50:D50"/>
    <mergeCell ref="A99:A100"/>
    <mergeCell ref="E50:E51"/>
    <mergeCell ref="L2:M2"/>
    <mergeCell ref="N2:O2"/>
    <mergeCell ref="L51:M51"/>
    <mergeCell ref="N51:O51"/>
    <mergeCell ref="L100:M100"/>
    <mergeCell ref="N100:O100"/>
    <mergeCell ref="A1:A2"/>
    <mergeCell ref="F50:G50"/>
    <mergeCell ref="F47:G47"/>
    <mergeCell ref="F1:G1"/>
    <mergeCell ref="C97:D97"/>
    <mergeCell ref="B50:B51"/>
    <mergeCell ref="B1:B2"/>
    <mergeCell ref="C1:D1"/>
  </mergeCells>
  <conditionalFormatting sqref="L1:L1048576 N1:N1048576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2015-06-05T18:19:34Z</dcterms:created>
  <dcterms:modified xsi:type="dcterms:W3CDTF">2026-10-06T12:14:05Z</dcterms:modified>
</cp:coreProperties>
</file>