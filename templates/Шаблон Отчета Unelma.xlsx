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лександр\Отчет для собственника\templates\"/>
    </mc:Choice>
  </mc:AlternateContent>
  <xr:revisionPtr revIDLastSave="0" documentId="13_ncr:1_{6D3CD500-7044-493A-86BD-C323937D7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O37" i="1"/>
  <c r="O30" i="1"/>
  <c r="O29" i="1"/>
  <c r="O27" i="1"/>
  <c r="O26" i="1"/>
  <c r="O21" i="1"/>
  <c r="O13" i="1"/>
  <c r="O12" i="1"/>
  <c r="O10" i="1"/>
  <c r="M38" i="1"/>
  <c r="M36" i="1"/>
  <c r="M30" i="1"/>
  <c r="M21" i="1"/>
  <c r="M20" i="1"/>
  <c r="M19" i="1"/>
  <c r="M18" i="1"/>
  <c r="M14" i="1"/>
  <c r="M7" i="1"/>
  <c r="N45" i="1"/>
  <c r="O45" i="1" s="1"/>
  <c r="L45" i="1"/>
  <c r="M45" i="1" s="1"/>
  <c r="N44" i="1"/>
  <c r="O44" i="1" s="1"/>
  <c r="L44" i="1"/>
  <c r="M44" i="1" s="1"/>
  <c r="N43" i="1"/>
  <c r="O43" i="1" s="1"/>
  <c r="L43" i="1"/>
  <c r="M43" i="1" s="1"/>
  <c r="N42" i="1"/>
  <c r="O42" i="1" s="1"/>
  <c r="L42" i="1"/>
  <c r="M42" i="1" s="1"/>
  <c r="N41" i="1"/>
  <c r="O41" i="1" s="1"/>
  <c r="L41" i="1"/>
  <c r="M41" i="1" s="1"/>
  <c r="N40" i="1"/>
  <c r="O40" i="1" s="1"/>
  <c r="L40" i="1"/>
  <c r="M40" i="1" s="1"/>
  <c r="N39" i="1"/>
  <c r="O39" i="1" s="1"/>
  <c r="L39" i="1"/>
  <c r="M39" i="1" s="1"/>
  <c r="N38" i="1"/>
  <c r="L38" i="1"/>
  <c r="N37" i="1"/>
  <c r="L37" i="1"/>
  <c r="M37" i="1" s="1"/>
  <c r="N36" i="1"/>
  <c r="O36" i="1" s="1"/>
  <c r="L36" i="1"/>
  <c r="N35" i="1"/>
  <c r="O35" i="1" s="1"/>
  <c r="L35" i="1"/>
  <c r="M35" i="1" s="1"/>
  <c r="N34" i="1"/>
  <c r="O34" i="1" s="1"/>
  <c r="L34" i="1"/>
  <c r="M34" i="1" s="1"/>
  <c r="N33" i="1"/>
  <c r="O33" i="1" s="1"/>
  <c r="L33" i="1"/>
  <c r="M33" i="1" s="1"/>
  <c r="N32" i="1"/>
  <c r="O32" i="1" s="1"/>
  <c r="L32" i="1"/>
  <c r="M32" i="1" s="1"/>
  <c r="N31" i="1"/>
  <c r="O31" i="1" s="1"/>
  <c r="L31" i="1"/>
  <c r="M31" i="1" s="1"/>
  <c r="N30" i="1"/>
  <c r="L30" i="1"/>
  <c r="N29" i="1"/>
  <c r="L29" i="1"/>
  <c r="M29" i="1" s="1"/>
  <c r="N28" i="1"/>
  <c r="O28" i="1" s="1"/>
  <c r="L28" i="1"/>
  <c r="M28" i="1" s="1"/>
  <c r="N27" i="1"/>
  <c r="L27" i="1"/>
  <c r="M27" i="1" s="1"/>
  <c r="N26" i="1"/>
  <c r="L26" i="1"/>
  <c r="M26" i="1" s="1"/>
  <c r="N25" i="1"/>
  <c r="O25" i="1" s="1"/>
  <c r="L25" i="1"/>
  <c r="M25" i="1" s="1"/>
  <c r="N24" i="1"/>
  <c r="O24" i="1" s="1"/>
  <c r="L24" i="1"/>
  <c r="M24" i="1" s="1"/>
  <c r="N23" i="1"/>
  <c r="O23" i="1" s="1"/>
  <c r="L23" i="1"/>
  <c r="M23" i="1" s="1"/>
  <c r="N21" i="1"/>
  <c r="L21" i="1"/>
  <c r="N20" i="1"/>
  <c r="O20" i="1" s="1"/>
  <c r="L20" i="1"/>
  <c r="N19" i="1"/>
  <c r="O19" i="1" s="1"/>
  <c r="L19" i="1"/>
  <c r="N18" i="1"/>
  <c r="O18" i="1" s="1"/>
  <c r="L18" i="1"/>
  <c r="N17" i="1"/>
  <c r="O17" i="1" s="1"/>
  <c r="L17" i="1"/>
  <c r="M17" i="1" s="1"/>
  <c r="N16" i="1"/>
  <c r="O16" i="1" s="1"/>
  <c r="L16" i="1"/>
  <c r="M16" i="1" s="1"/>
  <c r="N15" i="1"/>
  <c r="O15" i="1" s="1"/>
  <c r="L15" i="1"/>
  <c r="M15" i="1" s="1"/>
  <c r="N14" i="1"/>
  <c r="O14" i="1" s="1"/>
  <c r="L14" i="1"/>
  <c r="N13" i="1"/>
  <c r="L13" i="1"/>
  <c r="M13" i="1" s="1"/>
  <c r="N12" i="1"/>
  <c r="L12" i="1"/>
  <c r="M12" i="1" s="1"/>
  <c r="N10" i="1"/>
  <c r="L10" i="1"/>
  <c r="M10" i="1" s="1"/>
  <c r="N9" i="1"/>
  <c r="O9" i="1" s="1"/>
  <c r="L9" i="1"/>
  <c r="M9" i="1" s="1"/>
  <c r="N8" i="1"/>
  <c r="O8" i="1" s="1"/>
  <c r="L8" i="1"/>
  <c r="M8" i="1" s="1"/>
  <c r="N7" i="1"/>
  <c r="O7" i="1" s="1"/>
  <c r="L7" i="1"/>
  <c r="N4" i="1"/>
  <c r="O4" i="1" s="1"/>
  <c r="L4" i="1"/>
  <c r="M4" i="1" s="1"/>
  <c r="N3" i="1"/>
  <c r="O3" i="1" s="1"/>
  <c r="L3" i="1"/>
  <c r="M3" i="1" s="1"/>
  <c r="N2" i="1"/>
  <c r="L2" i="1"/>
  <c r="J22" i="1"/>
  <c r="H22" i="1"/>
  <c r="F22" i="1"/>
  <c r="E22" i="1"/>
  <c r="C22" i="1"/>
  <c r="J3" i="1"/>
  <c r="H3" i="1"/>
  <c r="F3" i="1"/>
  <c r="E3" i="1"/>
  <c r="C3" i="1"/>
  <c r="J11" i="1"/>
  <c r="H11" i="1"/>
  <c r="N11" i="1" s="1"/>
  <c r="O11" i="1" s="1"/>
  <c r="F11" i="1"/>
  <c r="E11" i="1"/>
  <c r="C11" i="1"/>
  <c r="J6" i="1"/>
  <c r="H6" i="1"/>
  <c r="F6" i="1"/>
  <c r="E6" i="1"/>
  <c r="C6" i="1"/>
  <c r="E5" i="1" l="1"/>
  <c r="E46" i="1" s="1"/>
  <c r="E47" i="1" s="1"/>
  <c r="L11" i="1"/>
  <c r="M11" i="1" s="1"/>
  <c r="H5" i="1"/>
  <c r="I22" i="1"/>
  <c r="C5" i="1"/>
  <c r="C46" i="1" s="1"/>
  <c r="C47" i="1" s="1"/>
  <c r="I6" i="1"/>
  <c r="I11" i="1"/>
  <c r="L6" i="1"/>
  <c r="M6" i="1" s="1"/>
  <c r="L22" i="1"/>
  <c r="M22" i="1" s="1"/>
  <c r="N6" i="1"/>
  <c r="O6" i="1" s="1"/>
  <c r="N22" i="1"/>
  <c r="O22" i="1" s="1"/>
  <c r="J5" i="1"/>
  <c r="J46" i="1" s="1"/>
  <c r="J47" i="1" s="1"/>
  <c r="F5" i="1"/>
  <c r="G6" i="1" s="1"/>
  <c r="H46" i="1"/>
  <c r="K22" i="1" l="1"/>
  <c r="F46" i="1"/>
  <c r="F47" i="1" s="1"/>
  <c r="K11" i="1"/>
  <c r="G11" i="1"/>
  <c r="D11" i="1"/>
  <c r="K38" i="1"/>
  <c r="K37" i="1"/>
  <c r="K21" i="1"/>
  <c r="K36" i="1"/>
  <c r="K20" i="1"/>
  <c r="K15" i="1"/>
  <c r="K45" i="1"/>
  <c r="K13" i="1"/>
  <c r="K12" i="1"/>
  <c r="K26" i="1"/>
  <c r="K9" i="1"/>
  <c r="K40" i="1"/>
  <c r="K7" i="1"/>
  <c r="K35" i="1"/>
  <c r="K19" i="1"/>
  <c r="K34" i="1"/>
  <c r="K17" i="1"/>
  <c r="K32" i="1"/>
  <c r="K18" i="1"/>
  <c r="K33" i="1"/>
  <c r="K16" i="1"/>
  <c r="K31" i="1"/>
  <c r="K14" i="1"/>
  <c r="K29" i="1"/>
  <c r="K44" i="1"/>
  <c r="K43" i="1"/>
  <c r="K10" i="1"/>
  <c r="K41" i="1"/>
  <c r="K8" i="1"/>
  <c r="K30" i="1"/>
  <c r="K28" i="1"/>
  <c r="K27" i="1"/>
  <c r="K42" i="1"/>
  <c r="K39" i="1"/>
  <c r="K25" i="1"/>
  <c r="K24" i="1"/>
  <c r="K23" i="1"/>
  <c r="D6" i="1"/>
  <c r="L46" i="1"/>
  <c r="M46" i="1" s="1"/>
  <c r="H47" i="1"/>
  <c r="N46" i="1"/>
  <c r="O46" i="1" s="1"/>
  <c r="G22" i="1"/>
  <c r="I30" i="1"/>
  <c r="I14" i="1"/>
  <c r="I45" i="1"/>
  <c r="I29" i="1"/>
  <c r="I13" i="1"/>
  <c r="I44" i="1"/>
  <c r="I28" i="1"/>
  <c r="I12" i="1"/>
  <c r="I8" i="1"/>
  <c r="I23" i="1"/>
  <c r="I38" i="1"/>
  <c r="I36" i="1"/>
  <c r="I19" i="1"/>
  <c r="I35" i="1"/>
  <c r="I16" i="1"/>
  <c r="I43" i="1"/>
  <c r="I27" i="1"/>
  <c r="I26" i="1"/>
  <c r="I25" i="1"/>
  <c r="I24" i="1"/>
  <c r="I7" i="1"/>
  <c r="I37" i="1"/>
  <c r="I20" i="1"/>
  <c r="I34" i="1"/>
  <c r="I32" i="1"/>
  <c r="I42" i="1"/>
  <c r="I10" i="1"/>
  <c r="I9" i="1"/>
  <c r="I40" i="1"/>
  <c r="I41" i="1"/>
  <c r="I21" i="1"/>
  <c r="I33" i="1"/>
  <c r="I15" i="1"/>
  <c r="I39" i="1"/>
  <c r="I18" i="1"/>
  <c r="I31" i="1"/>
  <c r="I17" i="1"/>
  <c r="N5" i="1"/>
  <c r="O5" i="1" s="1"/>
  <c r="L5" i="1"/>
  <c r="M5" i="1" s="1"/>
  <c r="K6" i="1"/>
  <c r="D41" i="1"/>
  <c r="D25" i="1"/>
  <c r="D9" i="1"/>
  <c r="D40" i="1"/>
  <c r="D24" i="1"/>
  <c r="D8" i="1"/>
  <c r="D39" i="1"/>
  <c r="D23" i="1"/>
  <c r="D7" i="1"/>
  <c r="D20" i="1"/>
  <c r="D34" i="1"/>
  <c r="D33" i="1"/>
  <c r="D32" i="1"/>
  <c r="D15" i="1"/>
  <c r="D30" i="1"/>
  <c r="D13" i="1"/>
  <c r="D28" i="1"/>
  <c r="D26" i="1"/>
  <c r="D38" i="1"/>
  <c r="D37" i="1"/>
  <c r="D21" i="1"/>
  <c r="D36" i="1"/>
  <c r="D35" i="1"/>
  <c r="D29" i="1"/>
  <c r="D19" i="1"/>
  <c r="D31" i="1"/>
  <c r="D14" i="1"/>
  <c r="D45" i="1"/>
  <c r="D43" i="1"/>
  <c r="D18" i="1"/>
  <c r="D44" i="1"/>
  <c r="D42" i="1"/>
  <c r="D17" i="1"/>
  <c r="D10" i="1"/>
  <c r="D12" i="1"/>
  <c r="D16" i="1"/>
  <c r="D27" i="1"/>
  <c r="G32" i="1"/>
  <c r="G16" i="1"/>
  <c r="G31" i="1"/>
  <c r="G15" i="1"/>
  <c r="G30" i="1"/>
  <c r="G14" i="1"/>
  <c r="G42" i="1"/>
  <c r="G10" i="1"/>
  <c r="G41" i="1"/>
  <c r="G40" i="1"/>
  <c r="G37" i="1"/>
  <c r="G45" i="1"/>
  <c r="G29" i="1"/>
  <c r="G13" i="1"/>
  <c r="G44" i="1"/>
  <c r="G28" i="1"/>
  <c r="G27" i="1"/>
  <c r="G26" i="1"/>
  <c r="G25" i="1"/>
  <c r="G24" i="1"/>
  <c r="G7" i="1"/>
  <c r="G21" i="1"/>
  <c r="G19" i="1"/>
  <c r="G12" i="1"/>
  <c r="G43" i="1"/>
  <c r="G9" i="1"/>
  <c r="G8" i="1"/>
  <c r="G39" i="1"/>
  <c r="G38" i="1"/>
  <c r="G33" i="1"/>
  <c r="G23" i="1"/>
  <c r="G20" i="1"/>
  <c r="G34" i="1"/>
  <c r="G35" i="1"/>
  <c r="G18" i="1"/>
  <c r="G17" i="1"/>
  <c r="G36" i="1"/>
  <c r="D22" i="1"/>
</calcChain>
</file>

<file path=xl/sharedStrings.xml><?xml version="1.0" encoding="utf-8"?>
<sst xmlns="http://schemas.openxmlformats.org/spreadsheetml/2006/main" count="106" uniqueCount="103">
  <si>
    <t>№ п/п</t>
  </si>
  <si>
    <t>Unelma</t>
  </si>
  <si>
    <t>Факт - прошлый месяц</t>
  </si>
  <si>
    <t>План месяца из годового плана</t>
  </si>
  <si>
    <t>План текущего месяца</t>
  </si>
  <si>
    <t xml:space="preserve">Факт текущего месяца </t>
  </si>
  <si>
    <t xml:space="preserve">Прогноз будущего месяца </t>
  </si>
  <si>
    <t>Доля, %</t>
  </si>
  <si>
    <t>1.</t>
  </si>
  <si>
    <t xml:space="preserve">Выручка </t>
  </si>
  <si>
    <t>2.</t>
  </si>
  <si>
    <t>Расходы</t>
  </si>
  <si>
    <t>2.1.</t>
  </si>
  <si>
    <t xml:space="preserve">ФОТ + налоги на ФОТ </t>
  </si>
  <si>
    <t>2.1.1.</t>
  </si>
  <si>
    <t xml:space="preserve">- ФОТ </t>
  </si>
  <si>
    <t>2.1.2.</t>
  </si>
  <si>
    <t xml:space="preserve">- Налоги </t>
  </si>
  <si>
    <t>2.2.</t>
  </si>
  <si>
    <t xml:space="preserve">Коммунальные расходы </t>
  </si>
  <si>
    <t>2.3.</t>
  </si>
  <si>
    <t>Комиссия внешним риэлторам и партнерам</t>
  </si>
  <si>
    <t>2.4.</t>
  </si>
  <si>
    <t>Закупки, обслуживание и ремонт:</t>
  </si>
  <si>
    <t>2.4.1.</t>
  </si>
  <si>
    <t xml:space="preserve"> - Бытовое оборудование, инвентарь</t>
  </si>
  <si>
    <t>2.4.2.</t>
  </si>
  <si>
    <t xml:space="preserve"> - Мебель</t>
  </si>
  <si>
    <t>2.4.3.</t>
  </si>
  <si>
    <t xml:space="preserve"> - Оргтехника</t>
  </si>
  <si>
    <t>2.4.4.</t>
  </si>
  <si>
    <t xml:space="preserve"> - Хоз.принадлежности</t>
  </si>
  <si>
    <t>2.4.5.</t>
  </si>
  <si>
    <t xml:space="preserve"> - Прочие мелкие ТМЦ</t>
  </si>
  <si>
    <t>2.4.6.</t>
  </si>
  <si>
    <t xml:space="preserve"> - Обслуживание объектов (бытовые вопросы, без ремонта)</t>
  </si>
  <si>
    <t>2.4.7.</t>
  </si>
  <si>
    <t xml:space="preserve"> - Страхование</t>
  </si>
  <si>
    <t>2.4.8.</t>
  </si>
  <si>
    <t xml:space="preserve"> - Ремонт текущий</t>
  </si>
  <si>
    <t>2.5.</t>
  </si>
  <si>
    <t>Налог на недвижимость</t>
  </si>
  <si>
    <t>2.6.</t>
  </si>
  <si>
    <t>РКО</t>
  </si>
  <si>
    <t>3.</t>
  </si>
  <si>
    <t>Прочие расходы</t>
  </si>
  <si>
    <t>3.1.</t>
  </si>
  <si>
    <t xml:space="preserve">- Командировки </t>
  </si>
  <si>
    <t>3.2.</t>
  </si>
  <si>
    <t xml:space="preserve"> - Объявление, реклама </t>
  </si>
  <si>
    <t>3.3.</t>
  </si>
  <si>
    <t xml:space="preserve">- Такси </t>
  </si>
  <si>
    <t>3.4.</t>
  </si>
  <si>
    <t>- Расходы на персонал</t>
  </si>
  <si>
    <t>3.5.</t>
  </si>
  <si>
    <t xml:space="preserve">- Консультационные услуги </t>
  </si>
  <si>
    <t>3.6.</t>
  </si>
  <si>
    <t xml:space="preserve">- Интернет, программы,телефоны </t>
  </si>
  <si>
    <t>3.7.</t>
  </si>
  <si>
    <t>- Представительские расходы</t>
  </si>
  <si>
    <t>3.8.</t>
  </si>
  <si>
    <t>- Бухгалтер</t>
  </si>
  <si>
    <t>3.9.</t>
  </si>
  <si>
    <t>- Юридические услуги (Голландия)</t>
  </si>
  <si>
    <t>3.10.</t>
  </si>
  <si>
    <t>- Юридические услуги</t>
  </si>
  <si>
    <t>3.11.</t>
  </si>
  <si>
    <t>- Налог на прибыль</t>
  </si>
  <si>
    <t>3.12.</t>
  </si>
  <si>
    <t>- Туристический налог</t>
  </si>
  <si>
    <t>3.13.</t>
  </si>
  <si>
    <t xml:space="preserve">- Ячейки </t>
  </si>
  <si>
    <t>3.14.</t>
  </si>
  <si>
    <t>- Расходы по содержанию автотранспорта</t>
  </si>
  <si>
    <t>3.15.</t>
  </si>
  <si>
    <t>- Лицензии, госпошлины, разрешения</t>
  </si>
  <si>
    <t>3.16.</t>
  </si>
  <si>
    <t xml:space="preserve">- Аренда офиса </t>
  </si>
  <si>
    <t>3.17.</t>
  </si>
  <si>
    <t xml:space="preserve">- Покупки в офис </t>
  </si>
  <si>
    <t>3.18.</t>
  </si>
  <si>
    <t>- Коммунальные офисные расходы</t>
  </si>
  <si>
    <t>3.19.</t>
  </si>
  <si>
    <t>- Возвраты клиентам</t>
  </si>
  <si>
    <t>3.20.</t>
  </si>
  <si>
    <t>- Транспортные услуги</t>
  </si>
  <si>
    <t>3.21.</t>
  </si>
  <si>
    <t>- Сайты (разработка и обслуживание)</t>
  </si>
  <si>
    <t>3.22.</t>
  </si>
  <si>
    <t>- Вознаграждение инвестора</t>
  </si>
  <si>
    <t>3.23.</t>
  </si>
  <si>
    <t>- Оффлайн мероприятия</t>
  </si>
  <si>
    <t>4.</t>
  </si>
  <si>
    <t>Валовая Прибыль</t>
  </si>
  <si>
    <t>5.</t>
  </si>
  <si>
    <t xml:space="preserve">Рентабельность </t>
  </si>
  <si>
    <t>Выручка строительных проектов</t>
  </si>
  <si>
    <t>1.1.</t>
  </si>
  <si>
    <t>Комментарии</t>
  </si>
  <si>
    <t>План-факт месяца (H - F)</t>
  </si>
  <si>
    <t>% выполнения плана (L/F*100)</t>
  </si>
  <si>
    <t>Рост/снижение к предыдущему месяцу (H - C)</t>
  </si>
  <si>
    <t>% роста (N/C*100)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</si>
</sst>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mmmm\ yyyy;@"/>
    <numFmt numFmtId="165" formatCode="[$€]#,##0"/>
    <numFmt numFmtId="166" formatCode="0.0%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  <charset val="204"/>
    </font>
    <font>
      <i/>
      <sz val="9"/>
      <name val="Arial"/>
      <family val="2"/>
      <charset val="204"/>
    </font>
    <font>
      <i/>
      <sz val="10"/>
      <name val="Calibri"/>
      <family val="2"/>
      <charset val="204"/>
    </font>
    <font>
      <i/>
      <sz val="9"/>
      <name val="Calibri"/>
      <family val="2"/>
      <charset val="204"/>
    </font>
    <font>
      <b/>
      <sz val="1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1" xfId="0" applyFont="1" applyBorder="1" applyAlignment="1">
      <alignment wrapText="1"/>
    </xf>
    <xf numFmtId="49" fontId="0" fillId="0" borderId="0" xfId="0" applyNumberFormat="1" applyAlignment="1">
      <alignment wrapText="1"/>
    </xf>
    <xf numFmtId="0" fontId="8" fillId="0" borderId="0" xfId="0" applyFont="1"/>
    <xf numFmtId="49" fontId="8" fillId="0" borderId="2" xfId="0" applyNumberFormat="1" applyFont="1" applyBorder="1" applyAlignment="1">
      <alignment wrapText="1"/>
    </xf>
    <xf numFmtId="0" fontId="13" fillId="0" borderId="0" xfId="0" applyFont="1"/>
    <xf numFmtId="0" fontId="10" fillId="0" borderId="1" xfId="0" applyFont="1" applyBorder="1" applyAlignment="1">
      <alignment wrapText="1"/>
    </xf>
    <xf numFmtId="49" fontId="14" fillId="0" borderId="2" xfId="0" applyNumberFormat="1" applyFont="1" applyBorder="1" applyAlignment="1">
      <alignment wrapText="1"/>
    </xf>
    <xf numFmtId="3" fontId="10" fillId="0" borderId="1" xfId="0" applyNumberFormat="1" applyFont="1" applyBorder="1" applyAlignment="1">
      <alignment horizontal="center"/>
    </xf>
    <xf numFmtId="16" fontId="0" fillId="0" borderId="1" xfId="0" applyNumberFormat="1" applyBorder="1" applyAlignment="1">
      <alignment wrapText="1"/>
    </xf>
    <xf numFmtId="49" fontId="15" fillId="0" borderId="2" xfId="0" applyNumberFormat="1" applyFont="1" applyBorder="1" applyAlignment="1">
      <alignment wrapText="1"/>
    </xf>
    <xf numFmtId="3" fontId="2" fillId="3" borderId="1" xfId="0" applyNumberFormat="1" applyFont="1" applyFill="1" applyBorder="1" applyAlignment="1">
      <alignment horizontal="center" wrapText="1"/>
    </xf>
    <xf numFmtId="3" fontId="2" fillId="6" borderId="1" xfId="0" applyNumberFormat="1" applyFont="1" applyFill="1" applyBorder="1" applyAlignment="1">
      <alignment horizontal="center" wrapText="1"/>
    </xf>
    <xf numFmtId="3" fontId="5" fillId="0" borderId="1" xfId="0" applyNumberFormat="1" applyFont="1" applyBorder="1" applyAlignment="1">
      <alignment horizontal="center"/>
    </xf>
    <xf numFmtId="49" fontId="16" fillId="0" borderId="2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49" fontId="17" fillId="0" borderId="2" xfId="0" applyNumberFormat="1" applyFont="1" applyBorder="1" applyAlignment="1">
      <alignment wrapText="1"/>
    </xf>
    <xf numFmtId="49" fontId="18" fillId="0" borderId="2" xfId="0" applyNumberFormat="1" applyFont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11" fillId="0" borderId="1" xfId="0" applyFont="1" applyBorder="1" applyAlignment="1">
      <alignment wrapText="1"/>
    </xf>
    <xf numFmtId="3" fontId="11" fillId="3" borderId="1" xfId="0" applyNumberFormat="1" applyFont="1" applyFill="1" applyBorder="1" applyAlignment="1">
      <alignment horizontal="center" wrapText="1"/>
    </xf>
    <xf numFmtId="3" fontId="11" fillId="6" borderId="1" xfId="0" applyNumberFormat="1" applyFont="1" applyFill="1" applyBorder="1" applyAlignment="1">
      <alignment horizontal="center" wrapText="1"/>
    </xf>
    <xf numFmtId="16" fontId="1" fillId="0" borderId="1" xfId="0" applyNumberFormat="1" applyFont="1" applyBorder="1"/>
    <xf numFmtId="49" fontId="19" fillId="0" borderId="2" xfId="0" applyNumberFormat="1" applyFont="1" applyBorder="1" applyAlignment="1">
      <alignment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wrapText="1"/>
    </xf>
    <xf numFmtId="0" fontId="20" fillId="0" borderId="0" xfId="0" applyFont="1"/>
    <xf numFmtId="3" fontId="9" fillId="3" borderId="1" xfId="0" applyNumberFormat="1" applyFont="1" applyFill="1" applyBorder="1" applyAlignment="1">
      <alignment horizontal="center" wrapText="1"/>
    </xf>
    <xf numFmtId="3" fontId="9" fillId="6" borderId="1" xfId="0" applyNumberFormat="1" applyFont="1" applyFill="1" applyBorder="1" applyAlignment="1">
      <alignment horizontal="center" wrapText="1"/>
    </xf>
    <xf numFmtId="3" fontId="8" fillId="0" borderId="1" xfId="0" applyNumberFormat="1" applyFont="1" applyBorder="1" applyAlignment="1">
      <alignment horizontal="center"/>
    </xf>
    <xf numFmtId="3" fontId="21" fillId="3" borderId="1" xfId="0" applyNumberFormat="1" applyFont="1" applyFill="1" applyBorder="1" applyAlignment="1">
      <alignment horizontal="center" wrapText="1"/>
    </xf>
    <xf numFmtId="3" fontId="21" fillId="6" borderId="1" xfId="0" applyNumberFormat="1" applyFont="1" applyFill="1" applyBorder="1" applyAlignment="1">
      <alignment horizontal="center" wrapText="1"/>
    </xf>
    <xf numFmtId="3" fontId="20" fillId="0" borderId="1" xfId="0" applyNumberFormat="1" applyFont="1" applyBorder="1" applyAlignment="1">
      <alignment horizontal="center"/>
    </xf>
    <xf numFmtId="10" fontId="4" fillId="3" borderId="1" xfId="0" applyNumberFormat="1" applyFont="1" applyFill="1" applyBorder="1" applyAlignment="1">
      <alignment horizontal="center" vertical="center" wrapText="1"/>
    </xf>
    <xf numFmtId="10" fontId="9" fillId="3" borderId="1" xfId="0" applyNumberFormat="1" applyFont="1" applyFill="1" applyBorder="1" applyAlignment="1">
      <alignment wrapText="1"/>
    </xf>
    <xf numFmtId="10" fontId="21" fillId="3" borderId="1" xfId="0" applyNumberFormat="1" applyFont="1" applyFill="1" applyBorder="1" applyAlignment="1">
      <alignment horizontal="center" wrapText="1"/>
    </xf>
    <xf numFmtId="10" fontId="11" fillId="3" borderId="1" xfId="0" applyNumberFormat="1" applyFont="1" applyFill="1" applyBorder="1" applyAlignment="1">
      <alignment horizontal="center" wrapText="1"/>
    </xf>
    <xf numFmtId="10" fontId="2" fillId="3" borderId="1" xfId="0" applyNumberFormat="1" applyFont="1" applyFill="1" applyBorder="1" applyAlignment="1">
      <alignment horizontal="center" wrapText="1"/>
    </xf>
    <xf numFmtId="10" fontId="0" fillId="0" borderId="0" xfId="0" applyNumberFormat="1"/>
    <xf numFmtId="10" fontId="3" fillId="5" borderId="1" xfId="0" applyNumberFormat="1" applyFont="1" applyFill="1" applyBorder="1" applyAlignment="1">
      <alignment horizontal="center" vertical="center" wrapText="1"/>
    </xf>
    <xf numFmtId="10" fontId="9" fillId="6" borderId="1" xfId="0" applyNumberFormat="1" applyFont="1" applyFill="1" applyBorder="1" applyAlignment="1">
      <alignment wrapText="1"/>
    </xf>
    <xf numFmtId="10" fontId="21" fillId="6" borderId="1" xfId="0" applyNumberFormat="1" applyFont="1" applyFill="1" applyBorder="1" applyAlignment="1">
      <alignment horizontal="center" wrapText="1"/>
    </xf>
    <xf numFmtId="10" fontId="12" fillId="6" borderId="1" xfId="0" applyNumberFormat="1" applyFont="1" applyFill="1" applyBorder="1" applyAlignment="1">
      <alignment horizontal="center" wrapText="1"/>
    </xf>
    <xf numFmtId="10" fontId="2" fillId="6" borderId="1" xfId="0" applyNumberFormat="1" applyFont="1" applyFill="1" applyBorder="1" applyAlignment="1">
      <alignment horizontal="center" wrapText="1"/>
    </xf>
    <xf numFmtId="10" fontId="4" fillId="3" borderId="1" xfId="0" applyNumberFormat="1" applyFont="1" applyFill="1" applyBorder="1" applyAlignment="1">
      <alignment horizontal="center" wrapText="1"/>
    </xf>
    <xf numFmtId="166" fontId="0" fillId="0" borderId="0" xfId="0" applyNumberFormat="1"/>
    <xf numFmtId="0" fontId="0" fillId="0" borderId="0" xfId="0" applyAlignment="1">
      <alignment wrapText="1"/>
    </xf>
    <xf numFmtId="10" fontId="3" fillId="0" borderId="7" xfId="0" applyNumberFormat="1" applyFont="1" applyBorder="1" applyAlignment="1">
      <alignment horizontal="center" vertical="center" wrapText="1"/>
    </xf>
    <xf numFmtId="10" fontId="8" fillId="0" borderId="7" xfId="0" applyNumberFormat="1" applyFont="1" applyBorder="1"/>
    <xf numFmtId="10" fontId="20" fillId="0" borderId="7" xfId="0" applyNumberFormat="1" applyFont="1" applyBorder="1" applyAlignment="1">
      <alignment horizontal="center"/>
    </xf>
    <xf numFmtId="10" fontId="13" fillId="7" borderId="7" xfId="0" applyNumberFormat="1" applyFont="1" applyFill="1" applyBorder="1" applyAlignment="1">
      <alignment horizontal="center"/>
    </xf>
    <xf numFmtId="10" fontId="5" fillId="7" borderId="7" xfId="0" applyNumberFormat="1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/>
    <xf numFmtId="166" fontId="8" fillId="0" borderId="1" xfId="0" applyNumberFormat="1" applyFont="1" applyBorder="1"/>
    <xf numFmtId="0" fontId="8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49" fontId="3" fillId="2" borderId="2" xfId="0" applyNumberFormat="1" applyFont="1" applyFill="1" applyBorder="1" applyAlignment="1">
      <alignment horizontal="center" vertical="center" wrapText="1"/>
    </xf>
    <xf numFmtId="0" fontId="0" fillId="0" borderId="5" xfId="0" applyBorder="1"/>
    <xf numFmtId="3" fontId="11" fillId="6" borderId="1" xfId="0" applyNumberFormat="1" applyFont="1" applyFill="1" applyBorder="1" applyAlignment="1">
      <alignment horizontal="center" wrapText="1"/>
    </xf>
    <xf numFmtId="0" fontId="0" fillId="0" borderId="2" xfId="0" applyBorder="1"/>
    <xf numFmtId="10" fontId="7" fillId="3" borderId="1" xfId="0" applyNumberFormat="1" applyFont="1" applyFill="1" applyBorder="1" applyAlignment="1">
      <alignment horizontal="center" wrapText="1"/>
    </xf>
    <xf numFmtId="10" fontId="7" fillId="6" borderId="1" xfId="0" applyNumberFormat="1" applyFont="1" applyFill="1" applyBorder="1" applyAlignment="1">
      <alignment horizont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3" fontId="11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0" fillId="0" borderId="4" xfId="0" applyBorder="1"/>
    <xf numFmtId="164" fontId="22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wrapText="1"/>
    </xf>
    <xf numFmtId="0" fontId="0" fillId="0" borderId="6" xfId="0" applyBorder="1"/>
    <xf numFmtId="10" fontId="1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zoomScaleNormal="100" workbookViewId="0">
      <pane xSplit="2" ySplit="2" topLeftCell="C35" activePane="bottomRight" state="frozen"/>
      <selection pane="topRight" activeCell="C1" sqref="C1"/>
      <selection pane="bottomLeft" activeCell="A3" sqref="A3"/>
      <selection pane="bottomRight" activeCell="B41" sqref="B41"/>
    </sheetView>
  </sheetViews>
  <sheetFormatPr defaultColWidth="12.6640625" defaultRowHeight="14.4" x14ac:dyDescent="0.3"/>
  <cols>
    <col min="1" max="1" width="6.21875" bestFit="1" customWidth="1"/>
    <col min="2" max="2" width="41.5546875" style="2" customWidth="1"/>
    <col min="4" max="4" width="11.109375" style="41" customWidth="1"/>
    <col min="5" max="5" width="14.33203125" customWidth="1"/>
    <col min="6" max="6" width="14" customWidth="1"/>
    <col min="7" max="7" width="10.21875" style="41" bestFit="1" customWidth="1"/>
    <col min="9" max="9" width="13.44140625" style="41" customWidth="1"/>
    <col min="10" max="10" width="14.5546875" bestFit="1" customWidth="1"/>
    <col min="11" max="11" width="10" style="41" customWidth="1"/>
    <col min="13" max="13" width="12.6640625" style="48"/>
    <col min="15" max="15" width="12.6640625" style="48"/>
    <col min="16" max="16" width="22.109375" style="49" customWidth="1"/>
  </cols>
  <sheetData>
    <row r="1" spans="1:16" ht="66" x14ac:dyDescent="0.3">
      <c r="A1" s="61" t="s">
        <v>0</v>
      </c>
      <c r="B1" s="63" t="s">
        <v>1</v>
      </c>
      <c r="C1" s="71" t="s">
        <v>2</v>
      </c>
      <c r="D1" s="66"/>
      <c r="E1" s="72" t="s">
        <v>3</v>
      </c>
      <c r="F1" s="69" t="s">
        <v>4</v>
      </c>
      <c r="G1" s="66"/>
      <c r="H1" s="69" t="s">
        <v>5</v>
      </c>
      <c r="I1" s="66"/>
      <c r="J1" s="79" t="s">
        <v>6</v>
      </c>
      <c r="K1" s="66"/>
      <c r="L1" s="55" t="s">
        <v>99</v>
      </c>
      <c r="M1" s="56" t="s">
        <v>100</v>
      </c>
      <c r="N1" s="55" t="s">
        <v>101</v>
      </c>
      <c r="O1" s="56" t="s">
        <v>102</v>
      </c>
      <c r="P1" s="15" t="s">
        <v>98</v>
      </c>
    </row>
    <row r="2" spans="1:16" x14ac:dyDescent="0.3">
      <c r="A2" s="62"/>
      <c r="B2" s="64"/>
      <c r="C2" s="25">
        <v>46204</v>
      </c>
      <c r="D2" s="36" t="s">
        <v>7</v>
      </c>
      <c r="E2" s="73"/>
      <c r="F2" s="26">
        <v>46235</v>
      </c>
      <c r="G2" s="42" t="s">
        <v>7</v>
      </c>
      <c r="H2" s="26">
        <v>46235</v>
      </c>
      <c r="I2" s="42" t="s">
        <v>7</v>
      </c>
      <c r="J2" s="27">
        <v>46266</v>
      </c>
      <c r="K2" s="50" t="s">
        <v>7</v>
      </c>
      <c r="L2" s="74">
        <f>F2</f>
        <v>46235</v>
      </c>
      <c r="M2" s="75"/>
      <c r="N2" s="74">
        <f>F2</f>
        <v>46235</v>
      </c>
      <c r="O2" s="75"/>
      <c r="P2" s="15"/>
    </row>
    <row r="3" spans="1:16" s="3" customFormat="1" ht="15.6" x14ac:dyDescent="0.3">
      <c r="A3" s="3" t="s">
        <v>8</v>
      </c>
      <c r="B3" s="4" t="s">
        <v>9</v>
      </c>
      <c r="C3" s="30">
        <f>C4</f>
        <v>0</v>
      </c>
      <c r="D3" s="37"/>
      <c r="E3" s="30">
        <f>E4</f>
        <v>0</v>
      </c>
      <c r="F3" s="31">
        <f>F4</f>
        <v>0</v>
      </c>
      <c r="G3" s="43"/>
      <c r="H3" s="31">
        <f>H4</f>
        <v>0</v>
      </c>
      <c r="I3" s="43"/>
      <c r="J3" s="32">
        <f>J4</f>
        <v>0</v>
      </c>
      <c r="K3" s="51"/>
      <c r="L3" s="57">
        <f>H3-F3</f>
        <v>0</v>
      </c>
      <c r="M3" s="58">
        <f>IFERROR(L3/F3,0)</f>
        <v>0</v>
      </c>
      <c r="N3" s="57">
        <f>H3-C3</f>
        <v>0</v>
      </c>
      <c r="O3" s="58">
        <f>IFERROR(N3/C3,0)</f>
        <v>0</v>
      </c>
      <c r="P3" s="59"/>
    </row>
    <row r="4" spans="1:16" s="3" customFormat="1" ht="15.6" x14ac:dyDescent="0.3">
      <c r="A4" s="29" t="s">
        <v>97</v>
      </c>
      <c r="B4" s="28" t="s">
        <v>96</v>
      </c>
      <c r="C4" s="33"/>
      <c r="D4" s="38"/>
      <c r="E4" s="33"/>
      <c r="F4" s="34"/>
      <c r="G4" s="44"/>
      <c r="H4" s="34"/>
      <c r="I4" s="44"/>
      <c r="J4" s="35"/>
      <c r="K4" s="52"/>
      <c r="L4" s="57">
        <f t="shared" ref="L4:L46" si="0">H4-F4</f>
        <v>0</v>
      </c>
      <c r="M4" s="58">
        <f t="shared" ref="M4:M46" si="1">IFERROR(L4/F4,0)</f>
        <v>0</v>
      </c>
      <c r="N4" s="57">
        <f t="shared" ref="N4:N46" si="2">H4-C4</f>
        <v>0</v>
      </c>
      <c r="O4" s="58">
        <f t="shared" ref="O4:O46" si="3">IFERROR(N4/C4,0)</f>
        <v>0</v>
      </c>
      <c r="P4" s="59"/>
    </row>
    <row r="5" spans="1:16" s="5" customFormat="1" ht="15.6" x14ac:dyDescent="0.3">
      <c r="A5" s="6" t="s">
        <v>10</v>
      </c>
      <c r="B5" s="7" t="s">
        <v>11</v>
      </c>
      <c r="C5" s="21">
        <f>C6+C9+C10+C11+C20+C21+C22</f>
        <v>0</v>
      </c>
      <c r="D5" s="39"/>
      <c r="E5" s="21">
        <f>E6+E9+E10+E11+E20+E21+E22</f>
        <v>0</v>
      </c>
      <c r="F5" s="22">
        <f>F6+F9+F10+F11+F20+F21+F22</f>
        <v>0</v>
      </c>
      <c r="G5" s="45"/>
      <c r="H5" s="22">
        <f>H6+H9+H10+H11+H20+H21+H22</f>
        <v>0</v>
      </c>
      <c r="I5" s="45"/>
      <c r="J5" s="8">
        <f>J6+J9+J10+J11+J20+J21+J22</f>
        <v>0</v>
      </c>
      <c r="K5" s="53"/>
      <c r="L5" s="57">
        <f t="shared" si="0"/>
        <v>0</v>
      </c>
      <c r="M5" s="58">
        <f t="shared" si="1"/>
        <v>0</v>
      </c>
      <c r="N5" s="57">
        <f t="shared" si="2"/>
        <v>0</v>
      </c>
      <c r="O5" s="58">
        <f t="shared" si="3"/>
        <v>0</v>
      </c>
      <c r="P5" s="60"/>
    </row>
    <row r="6" spans="1:16" ht="15.6" x14ac:dyDescent="0.3">
      <c r="A6" s="9" t="s">
        <v>12</v>
      </c>
      <c r="B6" s="10" t="s">
        <v>13</v>
      </c>
      <c r="C6" s="11">
        <f>C7+C8</f>
        <v>0</v>
      </c>
      <c r="D6" s="40">
        <f>IFERROR(C6/$C$5,0)</f>
        <v>0</v>
      </c>
      <c r="E6" s="11">
        <f>E8+E7</f>
        <v>0</v>
      </c>
      <c r="F6" s="12">
        <f>F8+F7</f>
        <v>0</v>
      </c>
      <c r="G6" s="46">
        <f>IFERROR(F6/$F$5,0)</f>
        <v>0</v>
      </c>
      <c r="H6" s="12">
        <f>H7+H8</f>
        <v>0</v>
      </c>
      <c r="I6" s="46">
        <f>IFERROR(H6/$H$5,0)</f>
        <v>0</v>
      </c>
      <c r="J6" s="13">
        <f>J7+J8</f>
        <v>0</v>
      </c>
      <c r="K6" s="54">
        <f>IFERROR(J6/$J$5,0)</f>
        <v>0</v>
      </c>
      <c r="L6" s="57">
        <f t="shared" si="0"/>
        <v>0</v>
      </c>
      <c r="M6" s="58">
        <f t="shared" si="1"/>
        <v>0</v>
      </c>
      <c r="N6" s="57">
        <f t="shared" si="2"/>
        <v>0</v>
      </c>
      <c r="O6" s="58">
        <f t="shared" si="3"/>
        <v>0</v>
      </c>
      <c r="P6" s="15"/>
    </row>
    <row r="7" spans="1:16" ht="15.6" x14ac:dyDescent="0.3">
      <c r="A7" s="1" t="s">
        <v>14</v>
      </c>
      <c r="B7" s="14" t="s">
        <v>15</v>
      </c>
      <c r="C7" s="11"/>
      <c r="D7" s="40">
        <f t="shared" ref="D7:D45" si="4">IFERROR(C7/$C$5,0)</f>
        <v>0</v>
      </c>
      <c r="E7" s="11"/>
      <c r="F7" s="12"/>
      <c r="G7" s="46">
        <f t="shared" ref="G7:G45" si="5">IFERROR(F7/$F$5,0)</f>
        <v>0</v>
      </c>
      <c r="H7" s="12"/>
      <c r="I7" s="46">
        <f t="shared" ref="I7:I45" si="6">IFERROR(H7/$H$5,0)</f>
        <v>0</v>
      </c>
      <c r="J7" s="13"/>
      <c r="K7" s="54">
        <f t="shared" ref="K7:K45" si="7">IFERROR(J7/$J$5,0)</f>
        <v>0</v>
      </c>
      <c r="L7" s="57">
        <f t="shared" si="0"/>
        <v>0</v>
      </c>
      <c r="M7" s="58">
        <f t="shared" si="1"/>
        <v>0</v>
      </c>
      <c r="N7" s="57">
        <f t="shared" si="2"/>
        <v>0</v>
      </c>
      <c r="O7" s="58">
        <f t="shared" si="3"/>
        <v>0</v>
      </c>
      <c r="P7" s="15"/>
    </row>
    <row r="8" spans="1:16" ht="15.6" x14ac:dyDescent="0.3">
      <c r="A8" s="15" t="s">
        <v>16</v>
      </c>
      <c r="B8" s="14" t="s">
        <v>17</v>
      </c>
      <c r="C8" s="11"/>
      <c r="D8" s="40">
        <f t="shared" si="4"/>
        <v>0</v>
      </c>
      <c r="E8" s="11"/>
      <c r="F8" s="12"/>
      <c r="G8" s="46">
        <f t="shared" si="5"/>
        <v>0</v>
      </c>
      <c r="H8" s="12"/>
      <c r="I8" s="46">
        <f t="shared" si="6"/>
        <v>0</v>
      </c>
      <c r="J8" s="13"/>
      <c r="K8" s="54">
        <f t="shared" si="7"/>
        <v>0</v>
      </c>
      <c r="L8" s="57">
        <f t="shared" si="0"/>
        <v>0</v>
      </c>
      <c r="M8" s="58">
        <f t="shared" si="1"/>
        <v>0</v>
      </c>
      <c r="N8" s="57">
        <f t="shared" si="2"/>
        <v>0</v>
      </c>
      <c r="O8" s="58">
        <f t="shared" si="3"/>
        <v>0</v>
      </c>
      <c r="P8" s="15"/>
    </row>
    <row r="9" spans="1:16" ht="15.6" x14ac:dyDescent="0.3">
      <c r="A9" s="1" t="s">
        <v>18</v>
      </c>
      <c r="B9" s="10" t="s">
        <v>19</v>
      </c>
      <c r="C9" s="11"/>
      <c r="D9" s="40">
        <f t="shared" si="4"/>
        <v>0</v>
      </c>
      <c r="E9" s="11"/>
      <c r="F9" s="12"/>
      <c r="G9" s="46">
        <f t="shared" si="5"/>
        <v>0</v>
      </c>
      <c r="H9" s="12"/>
      <c r="I9" s="46">
        <f t="shared" si="6"/>
        <v>0</v>
      </c>
      <c r="J9" s="13"/>
      <c r="K9" s="54">
        <f t="shared" si="7"/>
        <v>0</v>
      </c>
      <c r="L9" s="57">
        <f t="shared" si="0"/>
        <v>0</v>
      </c>
      <c r="M9" s="58">
        <f t="shared" si="1"/>
        <v>0</v>
      </c>
      <c r="N9" s="57">
        <f t="shared" si="2"/>
        <v>0</v>
      </c>
      <c r="O9" s="58">
        <f t="shared" si="3"/>
        <v>0</v>
      </c>
      <c r="P9" s="15"/>
    </row>
    <row r="10" spans="1:16" ht="15.6" x14ac:dyDescent="0.3">
      <c r="A10" s="1" t="s">
        <v>20</v>
      </c>
      <c r="B10" s="10" t="s">
        <v>21</v>
      </c>
      <c r="C10" s="11"/>
      <c r="D10" s="40">
        <f t="shared" si="4"/>
        <v>0</v>
      </c>
      <c r="E10" s="11"/>
      <c r="F10" s="12"/>
      <c r="G10" s="46">
        <f t="shared" si="5"/>
        <v>0</v>
      </c>
      <c r="H10" s="12"/>
      <c r="I10" s="46">
        <f t="shared" si="6"/>
        <v>0</v>
      </c>
      <c r="J10" s="13"/>
      <c r="K10" s="54">
        <f t="shared" si="7"/>
        <v>0</v>
      </c>
      <c r="L10" s="57">
        <f t="shared" si="0"/>
        <v>0</v>
      </c>
      <c r="M10" s="58">
        <f t="shared" si="1"/>
        <v>0</v>
      </c>
      <c r="N10" s="57">
        <f t="shared" si="2"/>
        <v>0</v>
      </c>
      <c r="O10" s="58">
        <f t="shared" si="3"/>
        <v>0</v>
      </c>
      <c r="P10" s="15"/>
    </row>
    <row r="11" spans="1:16" ht="15.6" x14ac:dyDescent="0.3">
      <c r="A11" s="1" t="s">
        <v>22</v>
      </c>
      <c r="B11" s="10" t="s">
        <v>23</v>
      </c>
      <c r="C11" s="11">
        <f>SUM(C12:C19)</f>
        <v>0</v>
      </c>
      <c r="D11" s="40">
        <f t="shared" si="4"/>
        <v>0</v>
      </c>
      <c r="E11" s="11">
        <f>SUM(E12:E19)</f>
        <v>0</v>
      </c>
      <c r="F11" s="12">
        <f>SUM(F12:F19)</f>
        <v>0</v>
      </c>
      <c r="G11" s="46">
        <f t="shared" si="5"/>
        <v>0</v>
      </c>
      <c r="H11" s="12">
        <f>SUM(H12:H19)</f>
        <v>0</v>
      </c>
      <c r="I11" s="46">
        <f t="shared" si="6"/>
        <v>0</v>
      </c>
      <c r="J11" s="13">
        <f>SUM(J12:J19)</f>
        <v>0</v>
      </c>
      <c r="K11" s="54">
        <f t="shared" si="7"/>
        <v>0</v>
      </c>
      <c r="L11" s="57">
        <f t="shared" si="0"/>
        <v>0</v>
      </c>
      <c r="M11" s="58">
        <f t="shared" si="1"/>
        <v>0</v>
      </c>
      <c r="N11" s="57">
        <f t="shared" si="2"/>
        <v>0</v>
      </c>
      <c r="O11" s="58">
        <f t="shared" si="3"/>
        <v>0</v>
      </c>
      <c r="P11" s="15"/>
    </row>
    <row r="12" spans="1:16" ht="15.6" x14ac:dyDescent="0.3">
      <c r="A12" s="1" t="s">
        <v>24</v>
      </c>
      <c r="B12" s="16" t="s">
        <v>25</v>
      </c>
      <c r="C12" s="11"/>
      <c r="D12" s="40">
        <f t="shared" si="4"/>
        <v>0</v>
      </c>
      <c r="E12" s="11"/>
      <c r="F12" s="12"/>
      <c r="G12" s="46">
        <f t="shared" si="5"/>
        <v>0</v>
      </c>
      <c r="H12" s="12"/>
      <c r="I12" s="46">
        <f t="shared" si="6"/>
        <v>0</v>
      </c>
      <c r="J12" s="13"/>
      <c r="K12" s="54">
        <f t="shared" si="7"/>
        <v>0</v>
      </c>
      <c r="L12" s="57">
        <f t="shared" si="0"/>
        <v>0</v>
      </c>
      <c r="M12" s="58">
        <f t="shared" si="1"/>
        <v>0</v>
      </c>
      <c r="N12" s="57">
        <f t="shared" si="2"/>
        <v>0</v>
      </c>
      <c r="O12" s="58">
        <f t="shared" si="3"/>
        <v>0</v>
      </c>
      <c r="P12" s="15"/>
    </row>
    <row r="13" spans="1:16" ht="15.6" x14ac:dyDescent="0.3">
      <c r="A13" s="1" t="s">
        <v>26</v>
      </c>
      <c r="B13" s="16" t="s">
        <v>27</v>
      </c>
      <c r="C13" s="11"/>
      <c r="D13" s="40">
        <f t="shared" si="4"/>
        <v>0</v>
      </c>
      <c r="E13" s="11"/>
      <c r="F13" s="12"/>
      <c r="G13" s="46">
        <f t="shared" si="5"/>
        <v>0</v>
      </c>
      <c r="H13" s="12"/>
      <c r="I13" s="46">
        <f t="shared" si="6"/>
        <v>0</v>
      </c>
      <c r="J13" s="13"/>
      <c r="K13" s="54">
        <f t="shared" si="7"/>
        <v>0</v>
      </c>
      <c r="L13" s="57">
        <f t="shared" si="0"/>
        <v>0</v>
      </c>
      <c r="M13" s="58">
        <f t="shared" si="1"/>
        <v>0</v>
      </c>
      <c r="N13" s="57">
        <f t="shared" si="2"/>
        <v>0</v>
      </c>
      <c r="O13" s="58">
        <f t="shared" si="3"/>
        <v>0</v>
      </c>
      <c r="P13" s="15"/>
    </row>
    <row r="14" spans="1:16" ht="15.6" x14ac:dyDescent="0.3">
      <c r="A14" s="1" t="s">
        <v>28</v>
      </c>
      <c r="B14" s="16" t="s">
        <v>29</v>
      </c>
      <c r="C14" s="11"/>
      <c r="D14" s="40">
        <f t="shared" si="4"/>
        <v>0</v>
      </c>
      <c r="E14" s="11"/>
      <c r="F14" s="12"/>
      <c r="G14" s="46">
        <f t="shared" si="5"/>
        <v>0</v>
      </c>
      <c r="H14" s="12"/>
      <c r="I14" s="46">
        <f t="shared" si="6"/>
        <v>0</v>
      </c>
      <c r="J14" s="13"/>
      <c r="K14" s="54">
        <f t="shared" si="7"/>
        <v>0</v>
      </c>
      <c r="L14" s="57">
        <f t="shared" si="0"/>
        <v>0</v>
      </c>
      <c r="M14" s="58">
        <f t="shared" si="1"/>
        <v>0</v>
      </c>
      <c r="N14" s="57">
        <f t="shared" si="2"/>
        <v>0</v>
      </c>
      <c r="O14" s="58">
        <f t="shared" si="3"/>
        <v>0</v>
      </c>
      <c r="P14" s="15"/>
    </row>
    <row r="15" spans="1:16" ht="15.6" x14ac:dyDescent="0.3">
      <c r="A15" s="1" t="s">
        <v>30</v>
      </c>
      <c r="B15" s="16" t="s">
        <v>31</v>
      </c>
      <c r="C15" s="11"/>
      <c r="D15" s="40">
        <f t="shared" si="4"/>
        <v>0</v>
      </c>
      <c r="E15" s="11"/>
      <c r="F15" s="12"/>
      <c r="G15" s="46">
        <f t="shared" si="5"/>
        <v>0</v>
      </c>
      <c r="H15" s="12"/>
      <c r="I15" s="46">
        <f t="shared" si="6"/>
        <v>0</v>
      </c>
      <c r="J15" s="13"/>
      <c r="K15" s="54">
        <f t="shared" si="7"/>
        <v>0</v>
      </c>
      <c r="L15" s="57">
        <f t="shared" si="0"/>
        <v>0</v>
      </c>
      <c r="M15" s="58">
        <f t="shared" si="1"/>
        <v>0</v>
      </c>
      <c r="N15" s="57">
        <f t="shared" si="2"/>
        <v>0</v>
      </c>
      <c r="O15" s="58">
        <f t="shared" si="3"/>
        <v>0</v>
      </c>
      <c r="P15" s="15"/>
    </row>
    <row r="16" spans="1:16" ht="15.6" x14ac:dyDescent="0.3">
      <c r="A16" s="1" t="s">
        <v>32</v>
      </c>
      <c r="B16" s="16" t="s">
        <v>33</v>
      </c>
      <c r="C16" s="11"/>
      <c r="D16" s="40">
        <f t="shared" si="4"/>
        <v>0</v>
      </c>
      <c r="E16" s="11"/>
      <c r="F16" s="12"/>
      <c r="G16" s="46">
        <f t="shared" si="5"/>
        <v>0</v>
      </c>
      <c r="H16" s="12"/>
      <c r="I16" s="46">
        <f t="shared" si="6"/>
        <v>0</v>
      </c>
      <c r="J16" s="13"/>
      <c r="K16" s="54">
        <f t="shared" si="7"/>
        <v>0</v>
      </c>
      <c r="L16" s="57">
        <f t="shared" si="0"/>
        <v>0</v>
      </c>
      <c r="M16" s="58">
        <f t="shared" si="1"/>
        <v>0</v>
      </c>
      <c r="N16" s="57">
        <f t="shared" si="2"/>
        <v>0</v>
      </c>
      <c r="O16" s="58">
        <f t="shared" si="3"/>
        <v>0</v>
      </c>
      <c r="P16" s="15"/>
    </row>
    <row r="17" spans="1:16" ht="27.6" x14ac:dyDescent="0.3">
      <c r="A17" s="1" t="s">
        <v>34</v>
      </c>
      <c r="B17" s="16" t="s">
        <v>35</v>
      </c>
      <c r="C17" s="11"/>
      <c r="D17" s="40">
        <f t="shared" si="4"/>
        <v>0</v>
      </c>
      <c r="E17" s="11"/>
      <c r="F17" s="12"/>
      <c r="G17" s="46">
        <f t="shared" si="5"/>
        <v>0</v>
      </c>
      <c r="H17" s="12"/>
      <c r="I17" s="46">
        <f t="shared" si="6"/>
        <v>0</v>
      </c>
      <c r="J17" s="13"/>
      <c r="K17" s="54">
        <f t="shared" si="7"/>
        <v>0</v>
      </c>
      <c r="L17" s="57">
        <f t="shared" si="0"/>
        <v>0</v>
      </c>
      <c r="M17" s="58">
        <f t="shared" si="1"/>
        <v>0</v>
      </c>
      <c r="N17" s="57">
        <f t="shared" si="2"/>
        <v>0</v>
      </c>
      <c r="O17" s="58">
        <f t="shared" si="3"/>
        <v>0</v>
      </c>
      <c r="P17" s="15"/>
    </row>
    <row r="18" spans="1:16" ht="15.6" x14ac:dyDescent="0.3">
      <c r="A18" s="1" t="s">
        <v>36</v>
      </c>
      <c r="B18" s="16" t="s">
        <v>37</v>
      </c>
      <c r="C18" s="11"/>
      <c r="D18" s="40">
        <f t="shared" si="4"/>
        <v>0</v>
      </c>
      <c r="E18" s="11"/>
      <c r="F18" s="12"/>
      <c r="G18" s="46">
        <f t="shared" si="5"/>
        <v>0</v>
      </c>
      <c r="H18" s="12"/>
      <c r="I18" s="46">
        <f t="shared" si="6"/>
        <v>0</v>
      </c>
      <c r="J18" s="13"/>
      <c r="K18" s="54">
        <f t="shared" si="7"/>
        <v>0</v>
      </c>
      <c r="L18" s="57">
        <f t="shared" si="0"/>
        <v>0</v>
      </c>
      <c r="M18" s="58">
        <f t="shared" si="1"/>
        <v>0</v>
      </c>
      <c r="N18" s="57">
        <f t="shared" si="2"/>
        <v>0</v>
      </c>
      <c r="O18" s="58">
        <f t="shared" si="3"/>
        <v>0</v>
      </c>
      <c r="P18" s="15"/>
    </row>
    <row r="19" spans="1:16" ht="15.6" x14ac:dyDescent="0.3">
      <c r="A19" s="1" t="s">
        <v>38</v>
      </c>
      <c r="B19" s="16" t="s">
        <v>39</v>
      </c>
      <c r="C19" s="11"/>
      <c r="D19" s="40">
        <f t="shared" si="4"/>
        <v>0</v>
      </c>
      <c r="E19" s="11"/>
      <c r="F19" s="12"/>
      <c r="G19" s="46">
        <f t="shared" si="5"/>
        <v>0</v>
      </c>
      <c r="H19" s="12"/>
      <c r="I19" s="46">
        <f t="shared" si="6"/>
        <v>0</v>
      </c>
      <c r="J19" s="13"/>
      <c r="K19" s="54">
        <f t="shared" si="7"/>
        <v>0</v>
      </c>
      <c r="L19" s="57">
        <f t="shared" si="0"/>
        <v>0</v>
      </c>
      <c r="M19" s="58">
        <f t="shared" si="1"/>
        <v>0</v>
      </c>
      <c r="N19" s="57">
        <f t="shared" si="2"/>
        <v>0</v>
      </c>
      <c r="O19" s="58">
        <f t="shared" si="3"/>
        <v>0</v>
      </c>
      <c r="P19" s="15"/>
    </row>
    <row r="20" spans="1:16" ht="15.6" x14ac:dyDescent="0.3">
      <c r="A20" s="1" t="s">
        <v>40</v>
      </c>
      <c r="B20" s="10" t="s">
        <v>41</v>
      </c>
      <c r="C20" s="11"/>
      <c r="D20" s="40">
        <f t="shared" si="4"/>
        <v>0</v>
      </c>
      <c r="E20" s="11"/>
      <c r="F20" s="12"/>
      <c r="G20" s="46">
        <f t="shared" si="5"/>
        <v>0</v>
      </c>
      <c r="H20" s="12"/>
      <c r="I20" s="46">
        <f t="shared" si="6"/>
        <v>0</v>
      </c>
      <c r="J20" s="13"/>
      <c r="K20" s="54">
        <f t="shared" si="7"/>
        <v>0</v>
      </c>
      <c r="L20" s="57">
        <f t="shared" si="0"/>
        <v>0</v>
      </c>
      <c r="M20" s="58">
        <f t="shared" si="1"/>
        <v>0</v>
      </c>
      <c r="N20" s="57">
        <f t="shared" si="2"/>
        <v>0</v>
      </c>
      <c r="O20" s="58">
        <f t="shared" si="3"/>
        <v>0</v>
      </c>
      <c r="P20" s="15"/>
    </row>
    <row r="21" spans="1:16" ht="15.6" x14ac:dyDescent="0.3">
      <c r="A21" s="1" t="s">
        <v>42</v>
      </c>
      <c r="B21" s="10" t="s">
        <v>43</v>
      </c>
      <c r="C21" s="11"/>
      <c r="D21" s="40">
        <f t="shared" si="4"/>
        <v>0</v>
      </c>
      <c r="E21" s="11"/>
      <c r="F21" s="12"/>
      <c r="G21" s="46">
        <f t="shared" si="5"/>
        <v>0</v>
      </c>
      <c r="H21" s="12"/>
      <c r="I21" s="46">
        <f t="shared" si="6"/>
        <v>0</v>
      </c>
      <c r="J21" s="13"/>
      <c r="K21" s="54">
        <f t="shared" si="7"/>
        <v>0</v>
      </c>
      <c r="L21" s="57">
        <f t="shared" si="0"/>
        <v>0</v>
      </c>
      <c r="M21" s="58">
        <f t="shared" si="1"/>
        <v>0</v>
      </c>
      <c r="N21" s="57">
        <f t="shared" si="2"/>
        <v>0</v>
      </c>
      <c r="O21" s="58">
        <f t="shared" si="3"/>
        <v>0</v>
      </c>
      <c r="P21" s="15"/>
    </row>
    <row r="22" spans="1:16" ht="15.6" x14ac:dyDescent="0.3">
      <c r="A22" s="6" t="s">
        <v>44</v>
      </c>
      <c r="B22" s="7" t="s">
        <v>45</v>
      </c>
      <c r="C22" s="21">
        <f>SUM(C23:C45)</f>
        <v>0</v>
      </c>
      <c r="D22" s="40">
        <f t="shared" si="4"/>
        <v>0</v>
      </c>
      <c r="E22" s="21">
        <f>SUM(E23:E45)</f>
        <v>0</v>
      </c>
      <c r="F22" s="22">
        <f>SUM(F23:F45)</f>
        <v>0</v>
      </c>
      <c r="G22" s="46">
        <f t="shared" si="5"/>
        <v>0</v>
      </c>
      <c r="H22" s="22">
        <f>SUM(H23:H45)</f>
        <v>0</v>
      </c>
      <c r="I22" s="46">
        <f t="shared" si="6"/>
        <v>0</v>
      </c>
      <c r="J22" s="8">
        <f>SUM(J23:J45)</f>
        <v>0</v>
      </c>
      <c r="K22" s="54">
        <f t="shared" si="7"/>
        <v>0</v>
      </c>
      <c r="L22" s="57">
        <f t="shared" si="0"/>
        <v>0</v>
      </c>
      <c r="M22" s="58">
        <f t="shared" si="1"/>
        <v>0</v>
      </c>
      <c r="N22" s="57">
        <f t="shared" si="2"/>
        <v>0</v>
      </c>
      <c r="O22" s="58">
        <f t="shared" si="3"/>
        <v>0</v>
      </c>
      <c r="P22" s="15"/>
    </row>
    <row r="23" spans="1:16" ht="15.6" x14ac:dyDescent="0.3">
      <c r="A23" s="1" t="s">
        <v>46</v>
      </c>
      <c r="B23" s="17" t="s">
        <v>47</v>
      </c>
      <c r="C23" s="18"/>
      <c r="D23" s="40">
        <f t="shared" si="4"/>
        <v>0</v>
      </c>
      <c r="E23" s="11"/>
      <c r="F23" s="12"/>
      <c r="G23" s="46">
        <f t="shared" si="5"/>
        <v>0</v>
      </c>
      <c r="H23" s="12"/>
      <c r="I23" s="46">
        <f t="shared" si="6"/>
        <v>0</v>
      </c>
      <c r="J23" s="13"/>
      <c r="K23" s="54">
        <f t="shared" si="7"/>
        <v>0</v>
      </c>
      <c r="L23" s="57">
        <f t="shared" si="0"/>
        <v>0</v>
      </c>
      <c r="M23" s="58">
        <f t="shared" si="1"/>
        <v>0</v>
      </c>
      <c r="N23" s="57">
        <f t="shared" si="2"/>
        <v>0</v>
      </c>
      <c r="O23" s="58">
        <f t="shared" si="3"/>
        <v>0</v>
      </c>
      <c r="P23" s="15"/>
    </row>
    <row r="24" spans="1:16" ht="15.6" x14ac:dyDescent="0.3">
      <c r="A24" s="1" t="s">
        <v>48</v>
      </c>
      <c r="B24" s="17" t="s">
        <v>49</v>
      </c>
      <c r="C24" s="11"/>
      <c r="D24" s="40">
        <f t="shared" si="4"/>
        <v>0</v>
      </c>
      <c r="E24" s="11"/>
      <c r="F24" s="12"/>
      <c r="G24" s="46">
        <f t="shared" si="5"/>
        <v>0</v>
      </c>
      <c r="H24" s="12"/>
      <c r="I24" s="46">
        <f t="shared" si="6"/>
        <v>0</v>
      </c>
      <c r="J24" s="13"/>
      <c r="K24" s="54">
        <f t="shared" si="7"/>
        <v>0</v>
      </c>
      <c r="L24" s="57">
        <f t="shared" si="0"/>
        <v>0</v>
      </c>
      <c r="M24" s="58">
        <f t="shared" si="1"/>
        <v>0</v>
      </c>
      <c r="N24" s="57">
        <f t="shared" si="2"/>
        <v>0</v>
      </c>
      <c r="O24" s="58">
        <f t="shared" si="3"/>
        <v>0</v>
      </c>
      <c r="P24" s="15"/>
    </row>
    <row r="25" spans="1:16" ht="15.6" x14ac:dyDescent="0.3">
      <c r="A25" s="1" t="s">
        <v>50</v>
      </c>
      <c r="B25" s="17" t="s">
        <v>51</v>
      </c>
      <c r="C25" s="11"/>
      <c r="D25" s="40">
        <f t="shared" si="4"/>
        <v>0</v>
      </c>
      <c r="E25" s="11"/>
      <c r="F25" s="12"/>
      <c r="G25" s="46">
        <f t="shared" si="5"/>
        <v>0</v>
      </c>
      <c r="H25" s="12"/>
      <c r="I25" s="46">
        <f t="shared" si="6"/>
        <v>0</v>
      </c>
      <c r="J25" s="13"/>
      <c r="K25" s="54">
        <f t="shared" si="7"/>
        <v>0</v>
      </c>
      <c r="L25" s="57">
        <f t="shared" si="0"/>
        <v>0</v>
      </c>
      <c r="M25" s="58">
        <f t="shared" si="1"/>
        <v>0</v>
      </c>
      <c r="N25" s="57">
        <f t="shared" si="2"/>
        <v>0</v>
      </c>
      <c r="O25" s="58">
        <f t="shared" si="3"/>
        <v>0</v>
      </c>
      <c r="P25" s="15"/>
    </row>
    <row r="26" spans="1:16" ht="15.6" x14ac:dyDescent="0.3">
      <c r="A26" s="1" t="s">
        <v>52</v>
      </c>
      <c r="B26" s="17" t="s">
        <v>53</v>
      </c>
      <c r="C26" s="11"/>
      <c r="D26" s="40">
        <f t="shared" si="4"/>
        <v>0</v>
      </c>
      <c r="E26" s="11"/>
      <c r="F26" s="12"/>
      <c r="G26" s="46">
        <f t="shared" si="5"/>
        <v>0</v>
      </c>
      <c r="H26" s="12"/>
      <c r="I26" s="46">
        <f t="shared" si="6"/>
        <v>0</v>
      </c>
      <c r="J26" s="13"/>
      <c r="K26" s="54">
        <f t="shared" si="7"/>
        <v>0</v>
      </c>
      <c r="L26" s="57">
        <f t="shared" si="0"/>
        <v>0</v>
      </c>
      <c r="M26" s="58">
        <f t="shared" si="1"/>
        <v>0</v>
      </c>
      <c r="N26" s="57">
        <f t="shared" si="2"/>
        <v>0</v>
      </c>
      <c r="O26" s="58">
        <f t="shared" si="3"/>
        <v>0</v>
      </c>
      <c r="P26" s="15"/>
    </row>
    <row r="27" spans="1:16" ht="15.6" x14ac:dyDescent="0.3">
      <c r="A27" s="1" t="s">
        <v>54</v>
      </c>
      <c r="B27" s="17" t="s">
        <v>55</v>
      </c>
      <c r="C27" s="18"/>
      <c r="D27" s="40">
        <f t="shared" si="4"/>
        <v>0</v>
      </c>
      <c r="E27" s="11"/>
      <c r="F27" s="12"/>
      <c r="G27" s="46">
        <f t="shared" si="5"/>
        <v>0</v>
      </c>
      <c r="H27" s="12"/>
      <c r="I27" s="46">
        <f t="shared" si="6"/>
        <v>0</v>
      </c>
      <c r="J27" s="13"/>
      <c r="K27" s="54">
        <f t="shared" si="7"/>
        <v>0</v>
      </c>
      <c r="L27" s="57">
        <f t="shared" si="0"/>
        <v>0</v>
      </c>
      <c r="M27" s="58">
        <f t="shared" si="1"/>
        <v>0</v>
      </c>
      <c r="N27" s="57">
        <f t="shared" si="2"/>
        <v>0</v>
      </c>
      <c r="O27" s="58">
        <f t="shared" si="3"/>
        <v>0</v>
      </c>
      <c r="P27" s="15"/>
    </row>
    <row r="28" spans="1:16" ht="15.6" x14ac:dyDescent="0.3">
      <c r="A28" s="1" t="s">
        <v>56</v>
      </c>
      <c r="B28" s="17" t="s">
        <v>57</v>
      </c>
      <c r="C28" s="11"/>
      <c r="D28" s="40">
        <f t="shared" si="4"/>
        <v>0</v>
      </c>
      <c r="E28" s="11"/>
      <c r="F28" s="12"/>
      <c r="G28" s="46">
        <f t="shared" si="5"/>
        <v>0</v>
      </c>
      <c r="H28" s="12"/>
      <c r="I28" s="46">
        <f t="shared" si="6"/>
        <v>0</v>
      </c>
      <c r="J28" s="13"/>
      <c r="K28" s="54">
        <f t="shared" si="7"/>
        <v>0</v>
      </c>
      <c r="L28" s="57">
        <f t="shared" si="0"/>
        <v>0</v>
      </c>
      <c r="M28" s="58">
        <f t="shared" si="1"/>
        <v>0</v>
      </c>
      <c r="N28" s="57">
        <f t="shared" si="2"/>
        <v>0</v>
      </c>
      <c r="O28" s="58">
        <f t="shared" si="3"/>
        <v>0</v>
      </c>
      <c r="P28" s="15"/>
    </row>
    <row r="29" spans="1:16" ht="15.6" x14ac:dyDescent="0.3">
      <c r="A29" s="1" t="s">
        <v>58</v>
      </c>
      <c r="B29" s="17" t="s">
        <v>59</v>
      </c>
      <c r="C29" s="18"/>
      <c r="D29" s="40">
        <f t="shared" si="4"/>
        <v>0</v>
      </c>
      <c r="E29" s="11"/>
      <c r="F29" s="12"/>
      <c r="G29" s="46">
        <f t="shared" si="5"/>
        <v>0</v>
      </c>
      <c r="H29" s="12"/>
      <c r="I29" s="46">
        <f t="shared" si="6"/>
        <v>0</v>
      </c>
      <c r="J29" s="13"/>
      <c r="K29" s="54">
        <f t="shared" si="7"/>
        <v>0</v>
      </c>
      <c r="L29" s="57">
        <f t="shared" si="0"/>
        <v>0</v>
      </c>
      <c r="M29" s="58">
        <f t="shared" si="1"/>
        <v>0</v>
      </c>
      <c r="N29" s="57">
        <f t="shared" si="2"/>
        <v>0</v>
      </c>
      <c r="O29" s="58">
        <f t="shared" si="3"/>
        <v>0</v>
      </c>
      <c r="P29" s="15"/>
    </row>
    <row r="30" spans="1:16" ht="15.6" x14ac:dyDescent="0.3">
      <c r="A30" s="1" t="s">
        <v>60</v>
      </c>
      <c r="B30" s="17" t="s">
        <v>61</v>
      </c>
      <c r="C30" s="11"/>
      <c r="D30" s="40">
        <f t="shared" si="4"/>
        <v>0</v>
      </c>
      <c r="E30" s="11"/>
      <c r="F30" s="12"/>
      <c r="G30" s="46">
        <f t="shared" si="5"/>
        <v>0</v>
      </c>
      <c r="H30" s="12"/>
      <c r="I30" s="46">
        <f t="shared" si="6"/>
        <v>0</v>
      </c>
      <c r="J30" s="13"/>
      <c r="K30" s="54">
        <f t="shared" si="7"/>
        <v>0</v>
      </c>
      <c r="L30" s="57">
        <f t="shared" si="0"/>
        <v>0</v>
      </c>
      <c r="M30" s="58">
        <f t="shared" si="1"/>
        <v>0</v>
      </c>
      <c r="N30" s="57">
        <f t="shared" si="2"/>
        <v>0</v>
      </c>
      <c r="O30" s="58">
        <f t="shared" si="3"/>
        <v>0</v>
      </c>
      <c r="P30" s="15"/>
    </row>
    <row r="31" spans="1:16" ht="15.6" x14ac:dyDescent="0.3">
      <c r="A31" s="1" t="s">
        <v>62</v>
      </c>
      <c r="B31" s="17" t="s">
        <v>63</v>
      </c>
      <c r="C31" s="18"/>
      <c r="D31" s="40">
        <f t="shared" si="4"/>
        <v>0</v>
      </c>
      <c r="E31" s="11"/>
      <c r="F31" s="12"/>
      <c r="G31" s="46">
        <f t="shared" si="5"/>
        <v>0</v>
      </c>
      <c r="H31" s="12"/>
      <c r="I31" s="46">
        <f t="shared" si="6"/>
        <v>0</v>
      </c>
      <c r="J31" s="13"/>
      <c r="K31" s="54">
        <f t="shared" si="7"/>
        <v>0</v>
      </c>
      <c r="L31" s="57">
        <f t="shared" si="0"/>
        <v>0</v>
      </c>
      <c r="M31" s="58">
        <f t="shared" si="1"/>
        <v>0</v>
      </c>
      <c r="N31" s="57">
        <f t="shared" si="2"/>
        <v>0</v>
      </c>
      <c r="O31" s="58">
        <f t="shared" si="3"/>
        <v>0</v>
      </c>
      <c r="P31" s="15"/>
    </row>
    <row r="32" spans="1:16" ht="15.6" x14ac:dyDescent="0.3">
      <c r="A32" s="1" t="s">
        <v>64</v>
      </c>
      <c r="B32" s="17" t="s">
        <v>65</v>
      </c>
      <c r="C32" s="18"/>
      <c r="D32" s="40">
        <f t="shared" si="4"/>
        <v>0</v>
      </c>
      <c r="E32" s="11"/>
      <c r="F32" s="12"/>
      <c r="G32" s="46">
        <f t="shared" si="5"/>
        <v>0</v>
      </c>
      <c r="H32" s="12"/>
      <c r="I32" s="46">
        <f t="shared" si="6"/>
        <v>0</v>
      </c>
      <c r="J32" s="13"/>
      <c r="K32" s="54">
        <f t="shared" si="7"/>
        <v>0</v>
      </c>
      <c r="L32" s="57">
        <f t="shared" si="0"/>
        <v>0</v>
      </c>
      <c r="M32" s="58">
        <f t="shared" si="1"/>
        <v>0</v>
      </c>
      <c r="N32" s="57">
        <f t="shared" si="2"/>
        <v>0</v>
      </c>
      <c r="O32" s="58">
        <f t="shared" si="3"/>
        <v>0</v>
      </c>
      <c r="P32" s="15"/>
    </row>
    <row r="33" spans="1:16" ht="15.6" x14ac:dyDescent="0.3">
      <c r="A33" s="1" t="s">
        <v>66</v>
      </c>
      <c r="B33" s="17" t="s">
        <v>67</v>
      </c>
      <c r="C33" s="18"/>
      <c r="D33" s="40">
        <f t="shared" si="4"/>
        <v>0</v>
      </c>
      <c r="E33" s="11"/>
      <c r="F33" s="12"/>
      <c r="G33" s="46">
        <f t="shared" si="5"/>
        <v>0</v>
      </c>
      <c r="H33" s="12"/>
      <c r="I33" s="46">
        <f t="shared" si="6"/>
        <v>0</v>
      </c>
      <c r="J33" s="13"/>
      <c r="K33" s="54">
        <f t="shared" si="7"/>
        <v>0</v>
      </c>
      <c r="L33" s="57">
        <f t="shared" si="0"/>
        <v>0</v>
      </c>
      <c r="M33" s="58">
        <f t="shared" si="1"/>
        <v>0</v>
      </c>
      <c r="N33" s="57">
        <f t="shared" si="2"/>
        <v>0</v>
      </c>
      <c r="O33" s="58">
        <f t="shared" si="3"/>
        <v>0</v>
      </c>
      <c r="P33" s="15"/>
    </row>
    <row r="34" spans="1:16" ht="15.6" x14ac:dyDescent="0.3">
      <c r="A34" s="19" t="s">
        <v>68</v>
      </c>
      <c r="B34" s="17" t="s">
        <v>69</v>
      </c>
      <c r="C34" s="18"/>
      <c r="D34" s="40">
        <f t="shared" si="4"/>
        <v>0</v>
      </c>
      <c r="E34" s="11"/>
      <c r="F34" s="12"/>
      <c r="G34" s="46">
        <f t="shared" si="5"/>
        <v>0</v>
      </c>
      <c r="H34" s="12"/>
      <c r="I34" s="46">
        <f t="shared" si="6"/>
        <v>0</v>
      </c>
      <c r="J34" s="13"/>
      <c r="K34" s="54">
        <f t="shared" si="7"/>
        <v>0</v>
      </c>
      <c r="L34" s="57">
        <f t="shared" si="0"/>
        <v>0</v>
      </c>
      <c r="M34" s="58">
        <f t="shared" si="1"/>
        <v>0</v>
      </c>
      <c r="N34" s="57">
        <f t="shared" si="2"/>
        <v>0</v>
      </c>
      <c r="O34" s="58">
        <f t="shared" si="3"/>
        <v>0</v>
      </c>
      <c r="P34" s="15"/>
    </row>
    <row r="35" spans="1:16" ht="15.6" x14ac:dyDescent="0.3">
      <c r="A35" s="1" t="s">
        <v>70</v>
      </c>
      <c r="B35" s="17" t="s">
        <v>71</v>
      </c>
      <c r="C35" s="11"/>
      <c r="D35" s="40">
        <f t="shared" si="4"/>
        <v>0</v>
      </c>
      <c r="E35" s="11"/>
      <c r="F35" s="12"/>
      <c r="G35" s="46">
        <f t="shared" si="5"/>
        <v>0</v>
      </c>
      <c r="H35" s="12"/>
      <c r="I35" s="46">
        <f t="shared" si="6"/>
        <v>0</v>
      </c>
      <c r="J35" s="13"/>
      <c r="K35" s="54">
        <f t="shared" si="7"/>
        <v>0</v>
      </c>
      <c r="L35" s="57">
        <f t="shared" si="0"/>
        <v>0</v>
      </c>
      <c r="M35" s="58">
        <f t="shared" si="1"/>
        <v>0</v>
      </c>
      <c r="N35" s="57">
        <f t="shared" si="2"/>
        <v>0</v>
      </c>
      <c r="O35" s="58">
        <f t="shared" si="3"/>
        <v>0</v>
      </c>
      <c r="P35" s="15"/>
    </row>
    <row r="36" spans="1:16" ht="15.6" x14ac:dyDescent="0.3">
      <c r="A36" s="15" t="s">
        <v>72</v>
      </c>
      <c r="B36" s="17" t="s">
        <v>73</v>
      </c>
      <c r="C36" s="18"/>
      <c r="D36" s="40">
        <f t="shared" si="4"/>
        <v>0</v>
      </c>
      <c r="E36" s="11"/>
      <c r="F36" s="12"/>
      <c r="G36" s="46">
        <f t="shared" si="5"/>
        <v>0</v>
      </c>
      <c r="H36" s="12"/>
      <c r="I36" s="46">
        <f t="shared" si="6"/>
        <v>0</v>
      </c>
      <c r="J36" s="13"/>
      <c r="K36" s="54">
        <f t="shared" si="7"/>
        <v>0</v>
      </c>
      <c r="L36" s="57">
        <f t="shared" si="0"/>
        <v>0</v>
      </c>
      <c r="M36" s="58">
        <f t="shared" si="1"/>
        <v>0</v>
      </c>
      <c r="N36" s="57">
        <f t="shared" si="2"/>
        <v>0</v>
      </c>
      <c r="O36" s="58">
        <f t="shared" si="3"/>
        <v>0</v>
      </c>
      <c r="P36" s="15"/>
    </row>
    <row r="37" spans="1:16" ht="15.6" x14ac:dyDescent="0.3">
      <c r="A37" s="1" t="s">
        <v>74</v>
      </c>
      <c r="B37" s="17" t="s">
        <v>75</v>
      </c>
      <c r="C37" s="18"/>
      <c r="D37" s="40">
        <f t="shared" si="4"/>
        <v>0</v>
      </c>
      <c r="E37" s="11"/>
      <c r="F37" s="12"/>
      <c r="G37" s="46">
        <f t="shared" si="5"/>
        <v>0</v>
      </c>
      <c r="H37" s="12"/>
      <c r="I37" s="46">
        <f t="shared" si="6"/>
        <v>0</v>
      </c>
      <c r="J37" s="13"/>
      <c r="K37" s="54">
        <f t="shared" si="7"/>
        <v>0</v>
      </c>
      <c r="L37" s="57">
        <f t="shared" si="0"/>
        <v>0</v>
      </c>
      <c r="M37" s="58">
        <f t="shared" si="1"/>
        <v>0</v>
      </c>
      <c r="N37" s="57">
        <f t="shared" si="2"/>
        <v>0</v>
      </c>
      <c r="O37" s="58">
        <f t="shared" si="3"/>
        <v>0</v>
      </c>
      <c r="P37" s="15"/>
    </row>
    <row r="38" spans="1:16" ht="15.6" x14ac:dyDescent="0.3">
      <c r="A38" s="15" t="s">
        <v>76</v>
      </c>
      <c r="B38" s="17" t="s">
        <v>77</v>
      </c>
      <c r="C38" s="11"/>
      <c r="D38" s="40">
        <f t="shared" si="4"/>
        <v>0</v>
      </c>
      <c r="E38" s="11"/>
      <c r="F38" s="12"/>
      <c r="G38" s="46">
        <f t="shared" si="5"/>
        <v>0</v>
      </c>
      <c r="H38" s="12"/>
      <c r="I38" s="46">
        <f t="shared" si="6"/>
        <v>0</v>
      </c>
      <c r="J38" s="13"/>
      <c r="K38" s="54">
        <f t="shared" si="7"/>
        <v>0</v>
      </c>
      <c r="L38" s="57">
        <f t="shared" si="0"/>
        <v>0</v>
      </c>
      <c r="M38" s="58">
        <f t="shared" si="1"/>
        <v>0</v>
      </c>
      <c r="N38" s="57">
        <f t="shared" si="2"/>
        <v>0</v>
      </c>
      <c r="O38" s="58">
        <f t="shared" si="3"/>
        <v>0</v>
      </c>
      <c r="P38" s="15"/>
    </row>
    <row r="39" spans="1:16" ht="15.6" x14ac:dyDescent="0.3">
      <c r="A39" s="1" t="s">
        <v>78</v>
      </c>
      <c r="B39" s="17" t="s">
        <v>79</v>
      </c>
      <c r="C39" s="11"/>
      <c r="D39" s="40">
        <f t="shared" si="4"/>
        <v>0</v>
      </c>
      <c r="E39" s="11"/>
      <c r="F39" s="12"/>
      <c r="G39" s="46">
        <f t="shared" si="5"/>
        <v>0</v>
      </c>
      <c r="H39" s="12"/>
      <c r="I39" s="46">
        <f t="shared" si="6"/>
        <v>0</v>
      </c>
      <c r="J39" s="13"/>
      <c r="K39" s="54">
        <f t="shared" si="7"/>
        <v>0</v>
      </c>
      <c r="L39" s="57">
        <f t="shared" si="0"/>
        <v>0</v>
      </c>
      <c r="M39" s="58">
        <f t="shared" si="1"/>
        <v>0</v>
      </c>
      <c r="N39" s="57">
        <f t="shared" si="2"/>
        <v>0</v>
      </c>
      <c r="O39" s="58">
        <f t="shared" si="3"/>
        <v>0</v>
      </c>
      <c r="P39" s="15"/>
    </row>
    <row r="40" spans="1:16" ht="15.6" x14ac:dyDescent="0.3">
      <c r="A40" s="1" t="s">
        <v>80</v>
      </c>
      <c r="B40" s="17" t="s">
        <v>81</v>
      </c>
      <c r="C40" s="11"/>
      <c r="D40" s="40">
        <f t="shared" si="4"/>
        <v>0</v>
      </c>
      <c r="E40" s="11"/>
      <c r="F40" s="12"/>
      <c r="G40" s="46">
        <f t="shared" si="5"/>
        <v>0</v>
      </c>
      <c r="H40" s="12"/>
      <c r="I40" s="46">
        <f t="shared" si="6"/>
        <v>0</v>
      </c>
      <c r="J40" s="13"/>
      <c r="K40" s="54">
        <f t="shared" si="7"/>
        <v>0</v>
      </c>
      <c r="L40" s="57">
        <f t="shared" si="0"/>
        <v>0</v>
      </c>
      <c r="M40" s="58">
        <f t="shared" si="1"/>
        <v>0</v>
      </c>
      <c r="N40" s="57">
        <f t="shared" si="2"/>
        <v>0</v>
      </c>
      <c r="O40" s="58">
        <f t="shared" si="3"/>
        <v>0</v>
      </c>
      <c r="P40" s="15"/>
    </row>
    <row r="41" spans="1:16" ht="15.6" x14ac:dyDescent="0.3">
      <c r="A41" s="1" t="s">
        <v>82</v>
      </c>
      <c r="B41" s="17" t="s">
        <v>83</v>
      </c>
      <c r="C41" s="18"/>
      <c r="D41" s="40">
        <f t="shared" si="4"/>
        <v>0</v>
      </c>
      <c r="E41" s="11"/>
      <c r="F41" s="12"/>
      <c r="G41" s="46">
        <f t="shared" si="5"/>
        <v>0</v>
      </c>
      <c r="H41" s="12"/>
      <c r="I41" s="46">
        <f t="shared" si="6"/>
        <v>0</v>
      </c>
      <c r="J41" s="13"/>
      <c r="K41" s="54">
        <f t="shared" si="7"/>
        <v>0</v>
      </c>
      <c r="L41" s="57">
        <f t="shared" si="0"/>
        <v>0</v>
      </c>
      <c r="M41" s="58">
        <f t="shared" si="1"/>
        <v>0</v>
      </c>
      <c r="N41" s="57">
        <f t="shared" si="2"/>
        <v>0</v>
      </c>
      <c r="O41" s="58">
        <f t="shared" si="3"/>
        <v>0</v>
      </c>
      <c r="P41" s="15"/>
    </row>
    <row r="42" spans="1:16" ht="15.6" x14ac:dyDescent="0.3">
      <c r="A42" s="1" t="s">
        <v>84</v>
      </c>
      <c r="B42" s="17" t="s">
        <v>85</v>
      </c>
      <c r="C42" s="18"/>
      <c r="D42" s="40">
        <f t="shared" si="4"/>
        <v>0</v>
      </c>
      <c r="E42" s="11"/>
      <c r="F42" s="12"/>
      <c r="G42" s="46">
        <f t="shared" si="5"/>
        <v>0</v>
      </c>
      <c r="H42" s="12"/>
      <c r="I42" s="46">
        <f t="shared" si="6"/>
        <v>0</v>
      </c>
      <c r="J42" s="13"/>
      <c r="K42" s="54">
        <f t="shared" si="7"/>
        <v>0</v>
      </c>
      <c r="L42" s="57">
        <f t="shared" si="0"/>
        <v>0</v>
      </c>
      <c r="M42" s="58">
        <f t="shared" si="1"/>
        <v>0</v>
      </c>
      <c r="N42" s="57">
        <f t="shared" si="2"/>
        <v>0</v>
      </c>
      <c r="O42" s="58">
        <f t="shared" si="3"/>
        <v>0</v>
      </c>
      <c r="P42" s="15"/>
    </row>
    <row r="43" spans="1:16" ht="15.6" x14ac:dyDescent="0.3">
      <c r="A43" s="1" t="s">
        <v>86</v>
      </c>
      <c r="B43" s="17" t="s">
        <v>87</v>
      </c>
      <c r="C43" s="11"/>
      <c r="D43" s="40">
        <f t="shared" si="4"/>
        <v>0</v>
      </c>
      <c r="E43" s="11"/>
      <c r="F43" s="12"/>
      <c r="G43" s="46">
        <f t="shared" si="5"/>
        <v>0</v>
      </c>
      <c r="H43" s="12"/>
      <c r="I43" s="46">
        <f t="shared" si="6"/>
        <v>0</v>
      </c>
      <c r="J43" s="13"/>
      <c r="K43" s="54">
        <f t="shared" si="7"/>
        <v>0</v>
      </c>
      <c r="L43" s="57">
        <f t="shared" si="0"/>
        <v>0</v>
      </c>
      <c r="M43" s="58">
        <f t="shared" si="1"/>
        <v>0</v>
      </c>
      <c r="N43" s="57">
        <f t="shared" si="2"/>
        <v>0</v>
      </c>
      <c r="O43" s="58">
        <f t="shared" si="3"/>
        <v>0</v>
      </c>
      <c r="P43" s="15"/>
    </row>
    <row r="44" spans="1:16" ht="15.6" x14ac:dyDescent="0.3">
      <c r="A44" s="1" t="s">
        <v>88</v>
      </c>
      <c r="B44" s="17" t="s">
        <v>89</v>
      </c>
      <c r="C44" s="18"/>
      <c r="D44" s="40">
        <f t="shared" si="4"/>
        <v>0</v>
      </c>
      <c r="E44" s="11"/>
      <c r="F44" s="12"/>
      <c r="G44" s="46">
        <f t="shared" si="5"/>
        <v>0</v>
      </c>
      <c r="H44" s="12"/>
      <c r="I44" s="46">
        <f t="shared" si="6"/>
        <v>0</v>
      </c>
      <c r="J44" s="13"/>
      <c r="K44" s="54">
        <f t="shared" si="7"/>
        <v>0</v>
      </c>
      <c r="L44" s="57">
        <f t="shared" si="0"/>
        <v>0</v>
      </c>
      <c r="M44" s="58">
        <f t="shared" si="1"/>
        <v>0</v>
      </c>
      <c r="N44" s="57">
        <f t="shared" si="2"/>
        <v>0</v>
      </c>
      <c r="O44" s="58">
        <f t="shared" si="3"/>
        <v>0</v>
      </c>
      <c r="P44" s="15"/>
    </row>
    <row r="45" spans="1:16" ht="15.6" x14ac:dyDescent="0.3">
      <c r="A45" s="1" t="s">
        <v>90</v>
      </c>
      <c r="B45" s="17" t="s">
        <v>91</v>
      </c>
      <c r="C45" s="18"/>
      <c r="D45" s="40">
        <f t="shared" si="4"/>
        <v>0</v>
      </c>
      <c r="E45" s="11"/>
      <c r="F45" s="12"/>
      <c r="G45" s="46">
        <f t="shared" si="5"/>
        <v>0</v>
      </c>
      <c r="H45" s="12"/>
      <c r="I45" s="46">
        <f t="shared" si="6"/>
        <v>0</v>
      </c>
      <c r="J45" s="13"/>
      <c r="K45" s="54">
        <f t="shared" si="7"/>
        <v>0</v>
      </c>
      <c r="L45" s="57">
        <f t="shared" si="0"/>
        <v>0</v>
      </c>
      <c r="M45" s="58">
        <f t="shared" si="1"/>
        <v>0</v>
      </c>
      <c r="N45" s="57">
        <f t="shared" si="2"/>
        <v>0</v>
      </c>
      <c r="O45" s="58">
        <f t="shared" si="3"/>
        <v>0</v>
      </c>
      <c r="P45" s="15"/>
    </row>
    <row r="46" spans="1:16" ht="15.6" x14ac:dyDescent="0.3">
      <c r="A46" s="20" t="s">
        <v>92</v>
      </c>
      <c r="B46" s="7" t="s">
        <v>93</v>
      </c>
      <c r="C46" s="70">
        <f>C3-C5</f>
        <v>0</v>
      </c>
      <c r="D46" s="66"/>
      <c r="E46" s="21">
        <f>E3-E5</f>
        <v>0</v>
      </c>
      <c r="F46" s="65">
        <f>F3-F5</f>
        <v>0</v>
      </c>
      <c r="G46" s="66"/>
      <c r="H46" s="65">
        <f>H3-H5</f>
        <v>0</v>
      </c>
      <c r="I46" s="66"/>
      <c r="J46" s="76">
        <f>J3-J5</f>
        <v>0</v>
      </c>
      <c r="K46" s="77"/>
      <c r="L46" s="57">
        <f t="shared" si="0"/>
        <v>0</v>
      </c>
      <c r="M46" s="58">
        <f t="shared" si="1"/>
        <v>0</v>
      </c>
      <c r="N46" s="57">
        <f t="shared" si="2"/>
        <v>0</v>
      </c>
      <c r="O46" s="58">
        <f t="shared" si="3"/>
        <v>0</v>
      </c>
      <c r="P46" s="15"/>
    </row>
    <row r="47" spans="1:16" x14ac:dyDescent="0.3">
      <c r="A47" s="23" t="s">
        <v>94</v>
      </c>
      <c r="B47" s="24" t="s">
        <v>95</v>
      </c>
      <c r="C47" s="67">
        <f>IFERROR(C46/C3,0)</f>
        <v>0</v>
      </c>
      <c r="D47" s="66"/>
      <c r="E47" s="47">
        <f>IFERROR(E46/E3,0)</f>
        <v>0</v>
      </c>
      <c r="F47" s="68">
        <f>IFERROR(F46/F3,0)</f>
        <v>0</v>
      </c>
      <c r="G47" s="66"/>
      <c r="H47" s="68">
        <f>IFERROR(H46/H3,0)</f>
        <v>0</v>
      </c>
      <c r="I47" s="66"/>
      <c r="J47" s="78">
        <f>IFERROR(J46/J3,0)</f>
        <v>0</v>
      </c>
      <c r="K47" s="66"/>
    </row>
  </sheetData>
  <mergeCells count="17">
    <mergeCell ref="L2:M2"/>
    <mergeCell ref="N2:O2"/>
    <mergeCell ref="J46:K46"/>
    <mergeCell ref="J47:K47"/>
    <mergeCell ref="H1:I1"/>
    <mergeCell ref="J1:K1"/>
    <mergeCell ref="A1:A2"/>
    <mergeCell ref="B1:B2"/>
    <mergeCell ref="F46:G46"/>
    <mergeCell ref="H46:I46"/>
    <mergeCell ref="C47:D47"/>
    <mergeCell ref="F47:G47"/>
    <mergeCell ref="H47:I47"/>
    <mergeCell ref="F1:G1"/>
    <mergeCell ref="C46:D46"/>
    <mergeCell ref="C1:D1"/>
    <mergeCell ref="E1:E2"/>
  </mergeCells>
  <conditionalFormatting sqref="L1:L1048576 N1:N1048576">
    <cfRule type="cellIs" dxfId="4" priority="1" operator="lessThan">
      <formula>0</formula>
    </cfRule>
    <cfRule type="cellIs" dxfId="3" priority="2" operator="greaterThan">
      <formula>0</formula>
    </cfRule>
    <cfRule type="cellIs" dxfId="2" priority="3" operator="lessThan">
      <formula>0</formula>
    </cfRule>
    <cfRule type="cellIs" dxfId="1" priority="4" operator="greaterThan">
      <formula>0</formula>
    </cfRule>
  </conditionalFormatting>
  <conditionalFormatting sqref="L2:L1048576 N2:N1048576">
    <cfRule type="cellIs" dxfId="0" priority="8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2015-06-05T18:19:34Z</dcterms:created>
  <dcterms:modified xsi:type="dcterms:W3CDTF">2026-10-06T12:17:15Z</dcterms:modified>
</cp:coreProperties>
</file>